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ecTables" sheetId="2" state="visible" r:id="rId4"/>
    <sheet name="Faults" sheetId="3" state="visible" r:id="rId5"/>
    <sheet name="CrossrefMap" sheetId="4" state="visible" r:id="rId6"/>
    <sheet name="BinderContent" sheetId="5" state="visible" r:id="rId7"/>
    <sheet name="Validation" sheetId="6" state="visible" r:id="rId8"/>
  </sheets>
  <definedNames>
    <definedName function="false" hidden="true" localSheetId="2" name="_xlnm._FilterDatabase" vbProcedure="false">Faults!$A$1:$Q$37</definedName>
    <definedName function="false" hidden="true" localSheetId="1" name="_xlnm._FilterDatabase" vbProcedure="false">SpecTables!$A$1:$I$67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<sst xmlns="http://schemas.openxmlformats.org/spreadsheetml/2006/main" count="1039" uniqueCount="465">
  <si>
    <t xml:space="preserve">UNDERCITY — Crossref Matrix &amp; Master Answer Key</t>
  </si>
  <si>
    <t xml:space="preserve">Companion to undercity-spec.md §3–4. This spreadsheet IS the game: every binder page, fault card, and the server's faults.json derive from it.</t>
  </si>
  <si>
    <t xml:space="preserve">HOW THE SHEETS FIT TOGETHER</t>
  </si>
  <si>
    <t xml:space="preserve">Faults — the master answer key: all 36 faults (6 tutorial + 30 deck cards) with resources, crew, spec sources, and live-formula resolution codes. FACILITATOR ONLY — never enters the room.</t>
  </si>
  <si>
    <t xml:space="preserve">SpecTables — every value printed in every binder table, including decoy rows and the six buried Appendix C specs. Edit values here (blue cells) and resolution codes update automatically.</t>
  </si>
  <si>
    <t xml:space="preserve">CrossrefMap — 6×6 who-needs-whose-binder view, plus each binder's 'escalate to' foreign index entries (binder pages 3–4).</t>
  </si>
  <si>
    <t xml:space="preserve">BinderContent — per-binder print manifest: which procedures, tables, and appendix content go into each of the six binder PDFs.</t>
  </si>
  <si>
    <t xml:space="preserve">Validation — automated checks: deck counts, spec-value uniqueness, appendix usage, binder demand balance. All rows must read OK before printing or exporting faults.json.</t>
  </si>
  <si>
    <t xml:space="preserve">DESIGN RULES ENCODED HERE</t>
  </si>
  <si>
    <t xml:space="preserve">Ring topology (R2): POW←WTR, WTR←MED, MED←TRN, TRN←AGR, AGR←COM, COM←POW. Diagonal pairs (R3): POW↔MED and TRN↔COM. R4 reverses the ring and raids other binders' buried appendices — testing transfer, not memory.</t>
  </si>
  <si>
    <t xml:space="preserve">Resolution code format: [Procedure]-[Spec1] or [Procedure]-[Spec1]-[Spec2], e.g. P-04-340. (The illustrative 'P09-340' in the master spec maps to F-201 = P-04-340 here; procedure numbers run sequentially within each binder.)</t>
  </si>
  <si>
    <t xml:space="preserve">All spec values are unique 3-digit numbers, so an overheard number is useless without knowing its table. 290 is reserved and appears in no table.</t>
  </si>
  <si>
    <t xml:space="preserve">THREE FLAGGED SEEDS (yellow rows in Faults / SpecTables)</t>
  </si>
  <si>
    <t xml:space="preserve">DISCREPANCY — SpecTables W4-3 (Lower Reservoir) prints 340 in the WTR binder; the big screen telemetry shows 290. Server accepts P-04-340 AND P-04-290 for F-201. The game never punishes it; only the transcript reveals who noticed and who spoke.</t>
  </si>
  <si>
    <t xml:space="preserve">FALSE ALARM — F-210 (AGR 'Sensor ghost'). No resolution code exists. The AGR binder index entry reads 'verify telemetry with COM before committing resources'. Facilitator clears it when COM confirms.</t>
  </si>
  <si>
    <t xml:space="preserve">BURIED SPECS — six Appendix C values with no index entry (one per binder). WTR and AGR need their own in R3; the other four are raided cross-sector in R4.</t>
  </si>
  <si>
    <t xml:space="preserve">EDITING &amp; EXPORT</t>
  </si>
  <si>
    <t xml:space="preserve">Blue cells = tunable during playtest rebalancing (spec values, decay rates, resources). Green cells = cross-sheet formulas — do not type over them.</t>
  </si>
  <si>
    <t xml:space="preserve">Example of the loop, end to end: facilitator fires F-201 → POW reads fault card → binder index → Procedure P-04 → 'obtain Lower Reservoir rating from WTR Manual Table W-4' → walks/talks to WTR → enters P-04-340 → server validates against this sheet's Resolution Code column.</t>
  </si>
  <si>
    <t xml:space="preserve">After any edit: re-run Validation checks, then regenerate faults.json and binder PDFs from this file. One source of truth.</t>
  </si>
  <si>
    <t xml:space="preserve">Spec ID</t>
  </si>
  <si>
    <t xml:space="preserve">Binder</t>
  </si>
  <si>
    <t xml:space="preserve">Table</t>
  </si>
  <si>
    <t xml:space="preserve">Table Name</t>
  </si>
  <si>
    <t xml:space="preserve">Row Label</t>
  </si>
  <si>
    <t xml:space="preserve">Value (blue = editable)</t>
  </si>
  <si>
    <t xml:space="preserve">Times Referenced</t>
  </si>
  <si>
    <t xml:space="preserve">Used By (regenerate if faults change)</t>
  </si>
  <si>
    <t xml:space="preserve">Flags</t>
  </si>
  <si>
    <t xml:space="preserve">P1-1</t>
  </si>
  <si>
    <t xml:space="preserve">POW</t>
  </si>
  <si>
    <t xml:space="preserve">P-1</t>
  </si>
  <si>
    <t xml:space="preserve">Turbine Output Ratings</t>
  </si>
  <si>
    <t xml:space="preserve">Turbine A</t>
  </si>
  <si>
    <t xml:space="preserve">F-001</t>
  </si>
  <si>
    <t xml:space="preserve">P1-2</t>
  </si>
  <si>
    <t xml:space="preserve">Turbine B</t>
  </si>
  <si>
    <t xml:space="preserve">decoy row</t>
  </si>
  <si>
    <t xml:space="preserve">P1-3</t>
  </si>
  <si>
    <t xml:space="preserve">Turbine C</t>
  </si>
  <si>
    <t xml:space="preserve">F-102</t>
  </si>
  <si>
    <t xml:space="preserve">P1-4</t>
  </si>
  <si>
    <t xml:space="preserve">Turbine D</t>
  </si>
  <si>
    <t xml:space="preserve">F-212</t>
  </si>
  <si>
    <t xml:space="preserve">P1-5</t>
  </si>
  <si>
    <t xml:space="preserve">Turbine E</t>
  </si>
  <si>
    <t xml:space="preserve">F-306</t>
  </si>
  <si>
    <t xml:space="preserve">P2-1</t>
  </si>
  <si>
    <t xml:space="preserve">P-2</t>
  </si>
  <si>
    <t xml:space="preserve">Breaker Load Limits</t>
  </si>
  <si>
    <t xml:space="preserve">Ring Main</t>
  </si>
  <si>
    <t xml:space="preserve">P2-2</t>
  </si>
  <si>
    <t xml:space="preserve">Sub-grid 1</t>
  </si>
  <si>
    <t xml:space="preserve">F-101</t>
  </si>
  <si>
    <t xml:space="preserve">P2-3</t>
  </si>
  <si>
    <t xml:space="preserve">Sub-grid 2</t>
  </si>
  <si>
    <t xml:space="preserve">F-403</t>
  </si>
  <si>
    <t xml:space="preserve">P2-4</t>
  </si>
  <si>
    <t xml:space="preserve">Sub-grid 3</t>
  </si>
  <si>
    <t xml:space="preserve">F-211</t>
  </si>
  <si>
    <t xml:space="preserve">P2-5</t>
  </si>
  <si>
    <t xml:space="preserve">Emergency Bus</t>
  </si>
  <si>
    <t xml:space="preserve">F-303</t>
  </si>
  <si>
    <t xml:space="preserve">W3-1</t>
  </si>
  <si>
    <t xml:space="preserve">WTR</t>
  </si>
  <si>
    <t xml:space="preserve">W-3</t>
  </si>
  <si>
    <t xml:space="preserve">Pump Flow Rates</t>
  </si>
  <si>
    <t xml:space="preserve">Pump Station 1</t>
  </si>
  <si>
    <t xml:space="preserve">F-002</t>
  </si>
  <si>
    <t xml:space="preserve">W3-2</t>
  </si>
  <si>
    <t xml:space="preserve">Pump Station 2</t>
  </si>
  <si>
    <t xml:space="preserve">F-103</t>
  </si>
  <si>
    <t xml:space="preserve">W3-3</t>
  </si>
  <si>
    <t xml:space="preserve">Pump Station 3</t>
  </si>
  <si>
    <t xml:space="preserve">F-402</t>
  </si>
  <si>
    <t xml:space="preserve">W3-4</t>
  </si>
  <si>
    <t xml:space="preserve">Pump Station 4</t>
  </si>
  <si>
    <t xml:space="preserve">F-104</t>
  </si>
  <si>
    <t xml:space="preserve">W3-5</t>
  </si>
  <si>
    <t xml:space="preserve">Backup Pump</t>
  </si>
  <si>
    <t xml:space="preserve">F-202</t>
  </si>
  <si>
    <t xml:space="preserve">W4-1</t>
  </si>
  <si>
    <t xml:space="preserve">W-4</t>
  </si>
  <si>
    <t xml:space="preserve">Reservoir Pressure Ratings</t>
  </si>
  <si>
    <t xml:space="preserve">Upper Reservoir</t>
  </si>
  <si>
    <t xml:space="preserve">W4-2</t>
  </si>
  <si>
    <t xml:space="preserve">Mid Reservoir</t>
  </si>
  <si>
    <t xml:space="preserve">W4-3</t>
  </si>
  <si>
    <t xml:space="preserve">Lower Reservoir</t>
  </si>
  <si>
    <t xml:space="preserve">F-201</t>
  </si>
  <si>
    <t xml:space="preserve">DISCREPANCY: binder prints 340; big screen shows 290; server accepts both</t>
  </si>
  <si>
    <t xml:space="preserve">W4-4</t>
  </si>
  <si>
    <t xml:space="preserve">Overflow Basin</t>
  </si>
  <si>
    <t xml:space="preserve">W4-5</t>
  </si>
  <si>
    <t xml:space="preserve">Emergency Tank</t>
  </si>
  <si>
    <t xml:space="preserve">F-301</t>
  </si>
  <si>
    <t xml:space="preserve">M2-1</t>
  </si>
  <si>
    <t xml:space="preserve">MED</t>
  </si>
  <si>
    <t xml:space="preserve">M-2</t>
  </si>
  <si>
    <t xml:space="preserve">Quarantine Thresholds</t>
  </si>
  <si>
    <t xml:space="preserve">Ward A</t>
  </si>
  <si>
    <t xml:space="preserve">F-003</t>
  </si>
  <si>
    <t xml:space="preserve">M2-2</t>
  </si>
  <si>
    <t xml:space="preserve">Ward B</t>
  </si>
  <si>
    <t xml:space="preserve">M2-3</t>
  </si>
  <si>
    <t xml:space="preserve">Isolation Wing</t>
  </si>
  <si>
    <t xml:space="preserve">F-203</t>
  </si>
  <si>
    <t xml:space="preserve">M2-4</t>
  </si>
  <si>
    <t xml:space="preserve">Triage Bay</t>
  </si>
  <si>
    <t xml:space="preserve">M2-5</t>
  </si>
  <si>
    <t xml:space="preserve">Surgical Suite</t>
  </si>
  <si>
    <t xml:space="preserve">F-302</t>
  </si>
  <si>
    <t xml:space="preserve">M5-1</t>
  </si>
  <si>
    <t xml:space="preserve">M-5</t>
  </si>
  <si>
    <t xml:space="preserve">Bio-filter Ratings</t>
  </si>
  <si>
    <t xml:space="preserve">Filter Bank 1</t>
  </si>
  <si>
    <t xml:space="preserve">M5-2</t>
  </si>
  <si>
    <t xml:space="preserve">Filter Bank 2</t>
  </si>
  <si>
    <t xml:space="preserve">F-105</t>
  </si>
  <si>
    <t xml:space="preserve">M5-3</t>
  </si>
  <si>
    <t xml:space="preserve">Filter Bank 3</t>
  </si>
  <si>
    <t xml:space="preserve">M5-4</t>
  </si>
  <si>
    <t xml:space="preserve">HEPA Array</t>
  </si>
  <si>
    <t xml:space="preserve">F-204</t>
  </si>
  <si>
    <t xml:space="preserve">M5-5</t>
  </si>
  <si>
    <t xml:space="preserve">Scrubber Unit</t>
  </si>
  <si>
    <t xml:space="preserve">T1-1</t>
  </si>
  <si>
    <t xml:space="preserve">TRN</t>
  </si>
  <si>
    <t xml:space="preserve">T-1</t>
  </si>
  <si>
    <t xml:space="preserve">Tunnel Load Classes</t>
  </si>
  <si>
    <t xml:space="preserve">Tunnel A</t>
  </si>
  <si>
    <t xml:space="preserve">F-004</t>
  </si>
  <si>
    <t xml:space="preserve">T1-2</t>
  </si>
  <si>
    <t xml:space="preserve">Tunnel B</t>
  </si>
  <si>
    <t xml:space="preserve">F-106</t>
  </si>
  <si>
    <t xml:space="preserve">T1-3</t>
  </si>
  <si>
    <t xml:space="preserve">Tunnel C</t>
  </si>
  <si>
    <t xml:space="preserve">T1-4</t>
  </si>
  <si>
    <t xml:space="preserve">Tunnel D</t>
  </si>
  <si>
    <t xml:space="preserve">F-205</t>
  </si>
  <si>
    <t xml:space="preserve">T1-5</t>
  </si>
  <si>
    <t xml:space="preserve">Freight Spur</t>
  </si>
  <si>
    <t xml:space="preserve">T6-1</t>
  </si>
  <si>
    <t xml:space="preserve">T-6</t>
  </si>
  <si>
    <t xml:space="preserve">Rail Voltage Specs</t>
  </si>
  <si>
    <t xml:space="preserve">Line 1</t>
  </si>
  <si>
    <t xml:space="preserve">T6-2</t>
  </si>
  <si>
    <t xml:space="preserve">Line 2</t>
  </si>
  <si>
    <t xml:space="preserve">F-206</t>
  </si>
  <si>
    <t xml:space="preserve">T6-3</t>
  </si>
  <si>
    <t xml:space="preserve">Line 3</t>
  </si>
  <si>
    <t xml:space="preserve">T6-4</t>
  </si>
  <si>
    <t xml:space="preserve">Yard Loop</t>
  </si>
  <si>
    <t xml:space="preserve">T6-5</t>
  </si>
  <si>
    <t xml:space="preserve">Emergency Line</t>
  </si>
  <si>
    <t xml:space="preserve">A2-1</t>
  </si>
  <si>
    <t xml:space="preserve">AGR</t>
  </si>
  <si>
    <t xml:space="preserve">A-2</t>
  </si>
  <si>
    <t xml:space="preserve">Nutrient Mix Ratios</t>
  </si>
  <si>
    <t xml:space="preserve">Bay 1</t>
  </si>
  <si>
    <t xml:space="preserve">F-005</t>
  </si>
  <si>
    <t xml:space="preserve">A2-2</t>
  </si>
  <si>
    <t xml:space="preserve">Bay 2</t>
  </si>
  <si>
    <t xml:space="preserve">F-107</t>
  </si>
  <si>
    <t xml:space="preserve">A2-3</t>
  </si>
  <si>
    <t xml:space="preserve">Bay 3</t>
  </si>
  <si>
    <t xml:space="preserve">A2-4</t>
  </si>
  <si>
    <t xml:space="preserve">Bay 4</t>
  </si>
  <si>
    <t xml:space="preserve">F-207</t>
  </si>
  <si>
    <t xml:space="preserve">A2-5</t>
  </si>
  <si>
    <t xml:space="preserve">Seedling Bay</t>
  </si>
  <si>
    <t xml:space="preserve">F-304</t>
  </si>
  <si>
    <t xml:space="preserve">A4-1</t>
  </si>
  <si>
    <t xml:space="preserve">A-4</t>
  </si>
  <si>
    <t xml:space="preserve">Grow-lamp Cycle Codes</t>
  </si>
  <si>
    <t xml:space="preserve">Array North</t>
  </si>
  <si>
    <t xml:space="preserve">A4-2</t>
  </si>
  <si>
    <t xml:space="preserve">Array South</t>
  </si>
  <si>
    <t xml:space="preserve">A4-3</t>
  </si>
  <si>
    <t xml:space="preserve">Array East</t>
  </si>
  <si>
    <t xml:space="preserve">F-208</t>
  </si>
  <si>
    <t xml:space="preserve">A4-4</t>
  </si>
  <si>
    <t xml:space="preserve">Array West</t>
  </si>
  <si>
    <t xml:space="preserve">F-401</t>
  </si>
  <si>
    <t xml:space="preserve">A4-5</t>
  </si>
  <si>
    <t xml:space="preserve">Nursery Array</t>
  </si>
  <si>
    <t xml:space="preserve">C1-1</t>
  </si>
  <si>
    <t xml:space="preserve">COM</t>
  </si>
  <si>
    <t xml:space="preserve">C-1</t>
  </si>
  <si>
    <t xml:space="preserve">Signal Frequency Bands</t>
  </si>
  <si>
    <t xml:space="preserve">Band Alpha</t>
  </si>
  <si>
    <t xml:space="preserve">F-006</t>
  </si>
  <si>
    <t xml:space="preserve">C1-2</t>
  </si>
  <si>
    <t xml:space="preserve">Band Beta</t>
  </si>
  <si>
    <t xml:space="preserve">F-108</t>
  </si>
  <si>
    <t xml:space="preserve">C1-3</t>
  </si>
  <si>
    <t xml:space="preserve">Band Gamma</t>
  </si>
  <si>
    <t xml:space="preserve">C1-4</t>
  </si>
  <si>
    <t xml:space="preserve">Band Delta</t>
  </si>
  <si>
    <t xml:space="preserve">C1-5</t>
  </si>
  <si>
    <t xml:space="preserve">Emergency Band</t>
  </si>
  <si>
    <t xml:space="preserve">F-404</t>
  </si>
  <si>
    <t xml:space="preserve">C3-1</t>
  </si>
  <si>
    <t xml:space="preserve">C-3</t>
  </si>
  <si>
    <t xml:space="preserve">Sensor Calibration Offsets</t>
  </si>
  <si>
    <t xml:space="preserve">Grid North</t>
  </si>
  <si>
    <t xml:space="preserve">C3-2</t>
  </si>
  <si>
    <t xml:space="preserve">Grid South</t>
  </si>
  <si>
    <t xml:space="preserve">F-209</t>
  </si>
  <si>
    <t xml:space="preserve">C3-3</t>
  </si>
  <si>
    <t xml:space="preserve">Core Ring</t>
  </si>
  <si>
    <t xml:space="preserve">C3-4</t>
  </si>
  <si>
    <t xml:space="preserve">Perimeter</t>
  </si>
  <si>
    <t xml:space="preserve">F-305</t>
  </si>
  <si>
    <t xml:space="preserve">C3-5</t>
  </si>
  <si>
    <t xml:space="preserve">Deep Sensors</t>
  </si>
  <si>
    <t xml:space="preserve">PC-1</t>
  </si>
  <si>
    <t xml:space="preserve">App-C</t>
  </si>
  <si>
    <t xml:space="preserve">Appendix C (unindexed)</t>
  </si>
  <si>
    <t xml:space="preserve">Emergency Load-Shed Sequence</t>
  </si>
  <si>
    <t xml:space="preserve">BURIED: no index entry in binder</t>
  </si>
  <si>
    <t xml:space="preserve">WC-1</t>
  </si>
  <si>
    <t xml:space="preserve">Emergency Sluice Override</t>
  </si>
  <si>
    <t xml:space="preserve">MC-1</t>
  </si>
  <si>
    <t xml:space="preserve">Mass-Casualty Evac Protocol Code</t>
  </si>
  <si>
    <t xml:space="preserve">TC-1</t>
  </si>
  <si>
    <t xml:space="preserve">Deep-Tunnel Pressure Rating</t>
  </si>
  <si>
    <t xml:space="preserve">AC-1</t>
  </si>
  <si>
    <t xml:space="preserve">Seed Vault Humidity Setpoint</t>
  </si>
  <si>
    <t xml:space="preserve">CC-1</t>
  </si>
  <si>
    <t xml:space="preserve">Master Uplink Reset Key</t>
  </si>
  <si>
    <t xml:space="preserve">Fault Code</t>
  </si>
  <si>
    <t xml:space="preserve">Round</t>
  </si>
  <si>
    <t xml:space="preserve">Sector</t>
  </si>
  <si>
    <t xml:space="preserve">Fault Name</t>
  </si>
  <si>
    <t xml:space="preserve">Flavour Line (card front)</t>
  </si>
  <si>
    <t xml:space="preserve">Sev</t>
  </si>
  <si>
    <t xml:space="preserve">Decay /min</t>
  </si>
  <si>
    <t xml:space="preserve">Crew</t>
  </si>
  <si>
    <t xml:space="preserve">Resources</t>
  </si>
  <si>
    <t xml:space="preserve">Procedure</t>
  </si>
  <si>
    <t xml:space="preserve">Spec ID 1</t>
  </si>
  <si>
    <t xml:space="preserve">Spec Value 1</t>
  </si>
  <si>
    <t xml:space="preserve">Spec ID 2</t>
  </si>
  <si>
    <t xml:space="preserve">Spec Value 2</t>
  </si>
  <si>
    <t xml:space="preserve">RESOLUTION CODE (server-valid)</t>
  </si>
  <si>
    <t xml:space="preserve">Deadline</t>
  </si>
  <si>
    <t xml:space="preserve">Flags / Facilitator Notes</t>
  </si>
  <si>
    <t xml:space="preserve">R0</t>
  </si>
  <si>
    <t xml:space="preserve">Panel self-test failure</t>
  </si>
  <si>
    <t xml:space="preserve">Routine diagnostics flag a stuck relay on the main panel.</t>
  </si>
  <si>
    <t xml:space="preserve">1×Parts</t>
  </si>
  <si>
    <t xml:space="preserve">P-01</t>
  </si>
  <si>
    <t xml:space="preserve">—</t>
  </si>
  <si>
    <t xml:space="preserve">Tutorial</t>
  </si>
  <si>
    <t xml:space="preserve">Gauge recalibration</t>
  </si>
  <si>
    <t xml:space="preserve">A pressure gauge drifts out of tolerance and needs a reference value.</t>
  </si>
  <si>
    <t xml:space="preserve">Sterile-stock audit</t>
  </si>
  <si>
    <t xml:space="preserve">Inventory system requests a threshold confirmation for Ward A.</t>
  </si>
  <si>
    <t xml:space="preserve">1×Med</t>
  </si>
  <si>
    <t xml:space="preserve">Signal lamp burnout</t>
  </si>
  <si>
    <t xml:space="preserve">A tunnel signal lamp fails; replacement needs the load class.</t>
  </si>
  <si>
    <t xml:space="preserve">Mix-tank flush</t>
  </si>
  <si>
    <t xml:space="preserve">Bay 1 nutrient tank requires a scheduled flush and re-dose.</t>
  </si>
  <si>
    <t xml:space="preserve">1×Water</t>
  </si>
  <si>
    <t xml:space="preserve">Beacon check-in</t>
  </si>
  <si>
    <t xml:space="preserve">The perimeter beacon requests its band assignment to re-sync.</t>
  </si>
  <si>
    <t xml:space="preserve">1×Power</t>
  </si>
  <si>
    <t xml:space="preserve">R1</t>
  </si>
  <si>
    <t xml:space="preserve">Breaker cascade trip</t>
  </si>
  <si>
    <t xml:space="preserve">Sub-grid breakers trip in sequence; reset requires the load limit.</t>
  </si>
  <si>
    <t xml:space="preserve">1×Parts, 1×Water</t>
  </si>
  <si>
    <t xml:space="preserve">P-02</t>
  </si>
  <si>
    <t xml:space="preserve">Turbine bearing whine</t>
  </si>
  <si>
    <t xml:space="preserve">Turbine C runs hot; re-rate output before the bearing seizes.</t>
  </si>
  <si>
    <t xml:space="preserve">P-03</t>
  </si>
  <si>
    <t xml:space="preserve">Pump cavitation</t>
  </si>
  <si>
    <t xml:space="preserve">Pump Station 2 cavitates; throttle to rated flow to clear it.</t>
  </si>
  <si>
    <t xml:space="preserve">Filter membrane clog</t>
  </si>
  <si>
    <t xml:space="preserve">Backwash cycle needs the Station 4 flow rate to run safely.</t>
  </si>
  <si>
    <t xml:space="preserve">1×Parts, 1×Power</t>
  </si>
  <si>
    <t xml:space="preserve">HVAC contamination alert</t>
  </si>
  <si>
    <t xml:space="preserve">Ward air sensors trip; verify Filter Bank 2 rating and purge.</t>
  </si>
  <si>
    <t xml:space="preserve">1×Power, 1×Water</t>
  </si>
  <si>
    <t xml:space="preserve">Track sensor drift</t>
  </si>
  <si>
    <t xml:space="preserve">Tunnel B occupancy sensors drift; re-zero against load class.</t>
  </si>
  <si>
    <t xml:space="preserve">Nutrient pump airlock</t>
  </si>
  <si>
    <t xml:space="preserve">Bay 2 dosing line airlocks; re-prime at the correct mix ratio.</t>
  </si>
  <si>
    <t xml:space="preserve">Antenna array desync</t>
  </si>
  <si>
    <t xml:space="preserve">South mast drops sync; re-lock on the Band Beta frequency.</t>
  </si>
  <si>
    <t xml:space="preserve">R2</t>
  </si>
  <si>
    <t xml:space="preserve">Coolant loop failure</t>
  </si>
  <si>
    <t xml:space="preserve">Turbine coolant pressure collapsing; needs reservoir rating from WTR.</t>
  </si>
  <si>
    <t xml:space="preserve">2×Parts, 1×Water</t>
  </si>
  <si>
    <t xml:space="preserve">P-04</t>
  </si>
  <si>
    <t xml:space="preserve">DISCREPANCY LIVE: binder says 340, big screen says 290 — server accepts P-04-340 OR P-04-290</t>
  </si>
  <si>
    <t xml:space="preserve">Grid harmonic surge</t>
  </si>
  <si>
    <t xml:space="preserve">Backup pump switching floods the grid with harmonics; match WTR pump rate.</t>
  </si>
  <si>
    <t xml:space="preserve">P-05</t>
  </si>
  <si>
    <t xml:space="preserve">Reclaim plant fault</t>
  </si>
  <si>
    <t xml:space="preserve">Grey-water reclaim breaches bio-limits; needs MED isolation threshold.</t>
  </si>
  <si>
    <t xml:space="preserve">1×Power, 1×Med</t>
  </si>
  <si>
    <t xml:space="preserve">Sluice actuator jam</t>
  </si>
  <si>
    <t xml:space="preserve">Sluice motor overloads its filter housing; needs MED HEPA rating.</t>
  </si>
  <si>
    <t xml:space="preserve">2×Parts</t>
  </si>
  <si>
    <t xml:space="preserve">Cold-chain failure</t>
  </si>
  <si>
    <t xml:space="preserve">Vaccine cold-store fails; emergency freight needs TRN tunnel load class.</t>
  </si>
  <si>
    <t xml:space="preserve">Oxygen scrubber overload</t>
  </si>
  <si>
    <t xml:space="preserve">Scrubbers brown out on rail feed; needs TRN Line 2 voltage.</t>
  </si>
  <si>
    <t xml:space="preserve">1×Power, 1×Parts</t>
  </si>
  <si>
    <t xml:space="preserve">Tunnel B partial collapse</t>
  </si>
  <si>
    <t xml:space="preserve">Roof fall in Tunnel B; shoring crew needs AGR Bay 4 substrate ratio.</t>
  </si>
  <si>
    <t xml:space="preserve">INJURY: 2 workforce tokens to MED when fired</t>
  </si>
  <si>
    <t xml:space="preserve">Rail power flicker</t>
  </si>
  <si>
    <t xml:space="preserve">Yard rail flickers on lamp-bank switching; match AGR West cycle code.</t>
  </si>
  <si>
    <t xml:space="preserve">Grow-lamp bank failure</t>
  </si>
  <si>
    <t xml:space="preserve">North array dead; re-strike needs COM Grid South calibration offset.</t>
  </si>
  <si>
    <t xml:space="preserve">F-210</t>
  </si>
  <si>
    <t xml:space="preserve">Sensor ghost: irrigation breach</t>
  </si>
  <si>
    <t xml:space="preserve">Dashboards show a Bay 3 flood. Fields report dry floors.</t>
  </si>
  <si>
    <t xml:space="preserve">NO CODE (false alarm)</t>
  </si>
  <si>
    <t xml:space="preserve">FALSE ALARM — binder index: 'verify telemetry with COM before committing resources'. No code exists; COM liaison confirms ghost to facilitator, who clears it</t>
  </si>
  <si>
    <t xml:space="preserve">Uplink power sag</t>
  </si>
  <si>
    <t xml:space="preserve">Uplink browns out at dusk load; needs POW Sub-grid 3 limit.</t>
  </si>
  <si>
    <t xml:space="preserve">Relay node blackout</t>
  </si>
  <si>
    <t xml:space="preserve">Deep relay dies; re-power against POW Turbine D rating.</t>
  </si>
  <si>
    <t xml:space="preserve">R3</t>
  </si>
  <si>
    <t xml:space="preserve">Core coupling misalignment</t>
  </si>
  <si>
    <t xml:space="preserve">Core mount shears; re-seat needs WTR emergency tank rating AND MED filter rating.</t>
  </si>
  <si>
    <t xml:space="preserve">3×Parts, 2×Water</t>
  </si>
  <si>
    <t xml:space="preserve">P-06</t>
  </si>
  <si>
    <t xml:space="preserve">Reservoir breach imminent</t>
  </si>
  <si>
    <t xml:space="preserve">Lower reservoir wall cracking; needs MED surgical-suite threshold AND the sluice override buried in your own Appendix C.</t>
  </si>
  <si>
    <t xml:space="preserve">2×Parts, 1×Power</t>
  </si>
  <si>
    <t xml:space="preserve">08:00</t>
  </si>
  <si>
    <t xml:space="preserve">Uses WTR buried appendix</t>
  </si>
  <si>
    <t xml:space="preserve">Life-support brownout</t>
  </si>
  <si>
    <t xml:space="preserve">ICU load exceeds supply; needs TRN freight class AND POW emergency bus limit.</t>
  </si>
  <si>
    <t xml:space="preserve">2×Power, 1×Med</t>
  </si>
  <si>
    <t xml:space="preserve">Diagonal pair MED&lt;-&gt;POW</t>
  </si>
  <si>
    <t xml:space="preserve">Blast door failure — Sector 4</t>
  </si>
  <si>
    <t xml:space="preserve">Door 4 stuck open to a flooded gallery; needs AGR seedling ratio AND COM Band Delta.</t>
  </si>
  <si>
    <t xml:space="preserve">06:00</t>
  </si>
  <si>
    <t xml:space="preserve">Diagonal pair TRN&lt;-&gt;COM</t>
  </si>
  <si>
    <t xml:space="preserve">Hydroponic root-rot bloom</t>
  </si>
  <si>
    <t xml:space="preserve">Rot spreading bay to bay; needs COM deep-sensor offset AND the vault setpoint buried in your own Appendix C.</t>
  </si>
  <si>
    <t xml:space="preserve">2×Water, 1×Med</t>
  </si>
  <si>
    <t xml:space="preserve">Uses AGR buried appendix</t>
  </si>
  <si>
    <t xml:space="preserve">Master sensor grid collapse</t>
  </si>
  <si>
    <t xml:space="preserve">City goes blind; restart needs POW Turbine E rating AND TRN yard-loop voltage.</t>
  </si>
  <si>
    <t xml:space="preserve">2×Power, 1×Parts</t>
  </si>
  <si>
    <t xml:space="preserve">Diagonal pair COM&lt;-&gt;TRN</t>
  </si>
  <si>
    <t xml:space="preserve">R4</t>
  </si>
  <si>
    <t xml:space="preserve">Core restart sequence fault</t>
  </si>
  <si>
    <t xml:space="preserve">Post-triage restart hangs at handshake; needs COM's buried uplink reset key AND AGR West array code.</t>
  </si>
  <si>
    <t xml:space="preserve">P-07</t>
  </si>
  <si>
    <t xml:space="preserve">Uses COM buried appendix — reverse of R2 ring</t>
  </si>
  <si>
    <t xml:space="preserve">Cryo-store failover</t>
  </si>
  <si>
    <t xml:space="preserve">Cryo bank failing over; needs POW's buried load-shed sequence AND WTR Station 3 flow.</t>
  </si>
  <si>
    <t xml:space="preserve">1×Power, 2×Med</t>
  </si>
  <si>
    <t xml:space="preserve">Uses POW buried appendix</t>
  </si>
  <si>
    <t xml:space="preserve">Aquifer pressure spike</t>
  </si>
  <si>
    <t xml:space="preserve">Deep aquifer surges; needs TRN's buried deep-tunnel rating AND POW Sub-grid 2 limit.</t>
  </si>
  <si>
    <t xml:space="preserve">Uses TRN buried appendix</t>
  </si>
  <si>
    <t xml:space="preserve">Evacuation route rerouting</t>
  </si>
  <si>
    <t xml:space="preserve">Aftershock closes two galleries; needs MED's buried evac protocol AND COM emergency band.</t>
  </si>
  <si>
    <t xml:space="preserve">10:00</t>
  </si>
  <si>
    <t xml:space="preserve">Uses MED buried appendix — feeds the R4 mini-triage</t>
  </si>
  <si>
    <t xml:space="preserve">WHO NEEDS WHOSE BINDER</t>
  </si>
  <si>
    <t xml:space="preserve">Rows = sector that owns the fault · Columns = binder holding the required spec · Cells list fault codes (spec 1 and spec 2 both counted)</t>
  </si>
  <si>
    <t xml:space="preserve">Fault owner ↓ / Spec source →</t>
  </si>
  <si>
    <t xml:space="preserve">POW binder</t>
  </si>
  <si>
    <t xml:space="preserve">WTR binder</t>
  </si>
  <si>
    <t xml:space="preserve">MED binder</t>
  </si>
  <si>
    <t xml:space="preserve">TRN binder</t>
  </si>
  <si>
    <t xml:space="preserve">AGR binder</t>
  </si>
  <si>
    <t xml:space="preserve">COM binder</t>
  </si>
  <si>
    <t xml:space="preserve">POW — Power Grid</t>
  </si>
  <si>
    <t xml:space="preserve">F-001
F-101
F-102</t>
  </si>
  <si>
    <t xml:space="preserve">F-201
F-202
F-301</t>
  </si>
  <si>
    <t xml:space="preserve">·</t>
  </si>
  <si>
    <t xml:space="preserve">WTR — Water &amp; Filtration</t>
  </si>
  <si>
    <t xml:space="preserve">F-002
F-103
F-104
F-302</t>
  </si>
  <si>
    <t xml:space="preserve">F-203
F-204
F-302</t>
  </si>
  <si>
    <t xml:space="preserve">MED — Medical Bay</t>
  </si>
  <si>
    <t xml:space="preserve">F-303
F-402</t>
  </si>
  <si>
    <t xml:space="preserve">F-003
F-105</t>
  </si>
  <si>
    <t xml:space="preserve">F-205
F-206
F-303</t>
  </si>
  <si>
    <t xml:space="preserve">TRN — Transport &amp; Tunnels</t>
  </si>
  <si>
    <t xml:space="preserve">F-004
F-106</t>
  </si>
  <si>
    <t xml:space="preserve">F-207
F-208
F-304</t>
  </si>
  <si>
    <t xml:space="preserve">F-304
F-404</t>
  </si>
  <si>
    <t xml:space="preserve">AGR — Agriculture</t>
  </si>
  <si>
    <t xml:space="preserve">F-005
F-107
F-305</t>
  </si>
  <si>
    <t xml:space="preserve">F-209
F-305</t>
  </si>
  <si>
    <t xml:space="preserve">COM — Comms &amp; Sensors</t>
  </si>
  <si>
    <t xml:space="preserve">F-211
F-212
F-306</t>
  </si>
  <si>
    <t xml:space="preserve">F-006
F-108</t>
  </si>
  <si>
    <t xml:space="preserve">Legend: green = own-binder lookups (R0/R1 + own buried appendix) · amber = cross-binder demand · R2 follows the ring, R3 adds diagonals, R4 reverses.</t>
  </si>
  <si>
    <t xml:space="preserve">'ESCALATE TO' FOREIGN INDEX ENTRIES (print in each binder's fault index, pages 3–4)</t>
  </si>
  <si>
    <t xml:space="preserve">POW binder index also lists:</t>
  </si>
  <si>
    <t xml:space="preserve">F-209 → escalate to AGR · F-205 → escalate to MED · F-204 → escalate to WTR · F-212 → escalate to COM</t>
  </si>
  <si>
    <t xml:space="preserve">WTR binder index also lists:</t>
  </si>
  <si>
    <t xml:space="preserve">F-209 → escalate to AGR · F-212 → escalate to COM · F-304 → escalate to TRN · F-201 → escalate to POW</t>
  </si>
  <si>
    <t xml:space="preserve">MED binder index also lists:</t>
  </si>
  <si>
    <t xml:space="preserve">F-207 → escalate to TRN · F-211 → escalate to COM · F-204 → escalate to WTR · F-209 → escalate to AGR</t>
  </si>
  <si>
    <t xml:space="preserve">TRN binder index also lists:</t>
  </si>
  <si>
    <t xml:space="preserve">F-206 → escalate to MED · F-209 → escalate to AGR · F-201 → escalate to POW · F-211 → escalate to COM</t>
  </si>
  <si>
    <t xml:space="preserve">AGR binder index also lists:</t>
  </si>
  <si>
    <t xml:space="preserve">F-211 → escalate to COM · F-206 → escalate to MED · F-203 → escalate to WTR · F-304 → escalate to TRN</t>
  </si>
  <si>
    <t xml:space="preserve">COM binder index also lists:</t>
  </si>
  <si>
    <t xml:space="preserve">F-302 → escalate to WTR · F-208 → escalate to TRN · F-301 → escalate to POW · F-209 → escalate to AGR</t>
  </si>
  <si>
    <t xml:space="preserve">Component</t>
  </si>
  <si>
    <t xml:space="preserve">Print Instruction</t>
  </si>
  <si>
    <t xml:space="preserve">Fault Code Index (p.3–4)</t>
  </si>
  <si>
    <t xml:space="preserve">Own faults: F-001, F-101, F-102, F-201, F-202, F-301, F-401. PLUS foreign escalate entries: F-209 → 'escalate to AGR'; F-205 → 'escalate to MED'; F-204 → 'escalate to WTR'; F-212 → 'escalate to COM'</t>
  </si>
  <si>
    <t xml:space="preserve">Repair Procedures (p.5–8)</t>
  </si>
  <si>
    <t xml:space="preserve">P-01 for F-001 'Panel self-test failure': requires 1×Parts, crew 1, spec from POW P-1 'Turbine A'; P-02 for F-101 'Breaker cascade trip': requires 1×Parts, 1×Water, crew 1, spec from POW P-2 'Sub-grid 1'; P-03 for F-102 'Turbine bearing whine': requires 1×Parts, crew 2, spec from POW P-1 'Turbine C'; P-04 for F-201 'Coolant loop failure': requires 2×Parts, 1×Water, crew 2, spec from WTR W-4 'Lower Reservoir'; P-05 for F-202 'Grid harmonic surge': requires 1×Parts, 1×Water, crew 2, spec from WTR W-3 'Backup Pump'; P-06 for F-301 'Core coupling misalignment': requires 3×Parts, 2×Water, crew 3, spec from WTR W-4 'Emergency Tank' AND MED M-5 'Filter Bank 3'; P-07 for F-401 'Core restart sequence fault': requires 2×Power, 1×Parts, crew 2, spec from COM App-C 'Master Uplink Reset Key' AND AGR A-4 'Array West'</t>
  </si>
  <si>
    <t xml:space="preserve">Spec Tables (p.9)</t>
  </si>
  <si>
    <t xml:space="preserve">P-1 Turbine Output Ratings — print ALL 5 rows incl. decoys; P-2 Breaker Load Limits — print ALL 5 rows incl. decoys</t>
  </si>
  <si>
    <t xml:space="preserve">Appendix C (p.10, buried)</t>
  </si>
  <si>
    <t xml:space="preserve">Single spec: 'Emergency Load-Shed Sequence' = value from SpecTables PC-1. NO index entry. Raided by another sector in R4.</t>
  </si>
  <si>
    <t xml:space="preserve">Log Sheet (p.11)</t>
  </si>
  <si>
    <t xml:space="preserve">Blank ops log — loose-leaf, the only consumable page.</t>
  </si>
  <si>
    <t xml:space="preserve">Own faults: F-002, F-103, F-104, F-203, F-204, F-302, F-403. PLUS foreign escalate entries: F-209 → 'escalate to AGR'; F-212 → 'escalate to COM'; F-304 → 'escalate to TRN'; F-201 → 'escalate to POW'</t>
  </si>
  <si>
    <t xml:space="preserve">P-01 for F-002 'Gauge recalibration': requires 1×Parts, crew 1, spec from WTR W-3 'Pump Station 1'; P-02 for F-103 'Pump cavitation': requires 1×Power, crew 1, spec from WTR W-3 'Pump Station 2'; P-03 for F-104 'Filter membrane clog': requires 1×Parts, 1×Power, crew 2, spec from WTR W-3 'Pump Station 4'; P-04 for F-203 'Reclaim plant fault': requires 1×Power, 1×Med, crew 2, spec from MED M-2 'Isolation Wing'; P-05 for F-204 'Sluice actuator jam': requires 2×Parts, crew 2, spec from MED M-5 'HEPA Array'; P-06 for F-302 'Reservoir breach imminent': requires 2×Parts, 1×Power, crew 3, spec from MED M-2 'Surgical Suite' AND WTR App-C 'Emergency Sluice Override'; P-07 for F-403 'Aquifer pressure spike': requires 2×Parts, crew 2, spec from TRN App-C 'Deep-Tunnel Pressure Rating' AND POW P-2 'Sub-grid 2'</t>
  </si>
  <si>
    <t xml:space="preserve">W-3 Pump Flow Rates — print ALL 5 rows incl. decoys; W-4 Reservoir Pressure Ratings — print ALL 5 rows incl. decoys. W-4 row 3 MUST print 340 (discrepancy seed — do not 'fix').</t>
  </si>
  <si>
    <t xml:space="preserve">Single spec: 'Emergency Sluice Override' = value from SpecTables WC-1. NO index entry. Needed by own R3 fault.</t>
  </si>
  <si>
    <t xml:space="preserve">Own faults: F-003, F-105, F-205, F-206, F-303, F-402. PLUS foreign escalate entries: F-207 → 'escalate to TRN'; F-211 → 'escalate to COM'; F-204 → 'escalate to WTR'; F-209 → 'escalate to AGR'</t>
  </si>
  <si>
    <t xml:space="preserve">P-01 for F-003 'Sterile-stock audit': requires 1×Med, crew 1, spec from MED M-2 'Ward A'; P-02 for F-105 'HVAC contamination alert': requires 1×Power, 1×Water, crew 1, spec from MED M-5 'Filter Bank 2'; P-04 for F-205 'Cold-chain failure': requires 1×Power, 1×Med, crew 2, spec from TRN T-1 'Tunnel D'; P-05 for F-206 'Oxygen scrubber overload': requires 1×Power, 1×Parts, crew 2, spec from TRN T-6 'Line 2'; P-06 for F-303 'Life-support brownout': requires 2×Power, 1×Med, crew 3, spec from TRN T-1 'Freight Spur' AND POW P-2 'Emergency Bus'; P-07 for F-402 'Cryo-store failover': requires 1×Power, 2×Med, crew 2, spec from POW App-C 'Emergency Load-Shed Sequence' AND WTR W-3 'Pump Station 3'</t>
  </si>
  <si>
    <t xml:space="preserve">M-2 Quarantine Thresholds — print ALL 5 rows incl. decoys; M-5 Bio-filter Ratings — print ALL 5 rows incl. decoys</t>
  </si>
  <si>
    <t xml:space="preserve">Single spec: 'Mass-Casualty Evac Protocol Code' = value from SpecTables MC-1. NO index entry. Raided by another sector in R4.</t>
  </si>
  <si>
    <t xml:space="preserve">Own faults: F-004, F-106, F-207, F-208, F-304, F-404. PLUS foreign escalate entries: F-206 → 'escalate to MED'; F-209 → 'escalate to AGR'; F-201 → 'escalate to POW'; F-211 → 'escalate to COM'</t>
  </si>
  <si>
    <t xml:space="preserve">P-01 for F-004 'Signal lamp burnout': requires 1×Parts, crew 1, spec from TRN T-1 'Tunnel A'; P-02 for F-106 'Track sensor drift': requires 1×Parts, crew 1, spec from TRN T-1 'Tunnel B'; P-04 for F-207 'Tunnel B partial collapse': requires 2×Parts, 1×Water, crew 3, spec from AGR A-2 'Bay 4'; P-05 for F-208 'Rail power flicker': requires 1×Power, 1×Parts, crew 2, spec from AGR A-4 'Array East'; P-06 for F-304 'Blast door failure — Sector 4': requires 2×Parts, 1×Power, crew 2, spec from AGR A-2 'Seedling Bay' AND COM C-1 'Band Delta'; P-07 for F-404 'Evacuation route rerouting': requires 1×Power, 1×Parts, crew 2, spec from MED App-C 'Mass-Casualty Evac Protocol Code' AND COM C-1 'Emergency Band'</t>
  </si>
  <si>
    <t xml:space="preserve">T-1 Tunnel Load Classes — print ALL 5 rows incl. decoys; T-6 Rail Voltage Specs — print ALL 5 rows incl. decoys</t>
  </si>
  <si>
    <t xml:space="preserve">Single spec: 'Deep-Tunnel Pressure Rating' = value from SpecTables TC-1. NO index entry. Raided by another sector in R4.</t>
  </si>
  <si>
    <t xml:space="preserve">Own faults: F-005, F-107, F-209, F-210, F-305. PLUS foreign escalate entries: F-211 → 'escalate to COM'; F-206 → 'escalate to MED'; F-203 → 'escalate to WTR'; F-304 → 'escalate to TRN'. F-210 index entry must read: 'Sensor ghost — verify telemetry with COM before committing resources.'</t>
  </si>
  <si>
    <t xml:space="preserve">P-01 for F-005 'Mix-tank flush': requires 1×Water, crew 1, spec from AGR A-2 'Bay 1'; P-02 for F-107 'Nutrient pump airlock': requires 1×Water, crew 1, spec from AGR A-2 'Bay 2'; P-04 for F-209 'Grow-lamp bank failure': requires 1×Power, 1×Parts, crew 2, spec from COM C-3 'Grid South'; P-06 for F-305 'Hydroponic root-rot bloom': requires 2×Water, 1×Med, crew 2, spec from COM C-3 'Perimeter' AND AGR App-C 'Seed Vault Humidity Setpoint'</t>
  </si>
  <si>
    <t xml:space="preserve">A-2 Nutrient Mix Ratios — print ALL 5 rows incl. decoys; A-4 Grow-lamp Cycle Codes — print ALL 5 rows incl. decoys</t>
  </si>
  <si>
    <t xml:space="preserve">Single spec: 'Seed Vault Humidity Setpoint' = value from SpecTables AC-1. NO index entry. Needed by own R3 fault.</t>
  </si>
  <si>
    <t xml:space="preserve">Own faults: F-006, F-108, F-211, F-212, F-306. PLUS foreign escalate entries: F-302 → 'escalate to WTR'; F-208 → 'escalate to TRN'; F-301 → 'escalate to POW'; F-209 → 'escalate to AGR'</t>
  </si>
  <si>
    <t xml:space="preserve">P-01 for F-006 'Beacon check-in': requires 1×Power, crew 1, spec from COM C-1 'Band Alpha'; P-02 for F-108 'Antenna array desync': requires 1×Power, crew 1, spec from COM C-1 'Band Beta'; P-04 for F-211 'Uplink power sag': requires 1×Power, 1×Parts, crew 2, spec from POW P-2 'Sub-grid 3'; P-05 for F-212 'Relay node blackout': requires 1×Power, crew 2, spec from POW P-1 'Turbine D'; P-06 for F-306 'Master sensor grid collapse': requires 2×Power, 1×Parts, crew 3, spec from POW P-1 'Turbine E' AND TRN T-6 'Yard Loop'</t>
  </si>
  <si>
    <t xml:space="preserve">C-1 Signal Frequency Bands — print ALL 5 rows incl. decoys; C-3 Sensor Calibration Offsets — print ALL 5 rows incl. decoys</t>
  </si>
  <si>
    <t xml:space="preserve">Single spec: 'Master Uplink Reset Key' = value from SpecTables CC-1. NO index entry. Raided by another sector in R4.</t>
  </si>
  <si>
    <t xml:space="preserve">Check</t>
  </si>
  <si>
    <t xml:space="preserve">Expected</t>
  </si>
  <si>
    <t xml:space="preserve">Actual</t>
  </si>
  <si>
    <t xml:space="preserve">Status</t>
  </si>
  <si>
    <t xml:space="preserve">Tutorial faults (R0)</t>
  </si>
  <si>
    <t xml:space="preserve">R1 deck cards (self-contained, baseline round)</t>
  </si>
  <si>
    <t xml:space="preserve">R2 deck cards (ring cross-refs incl. false alarm)</t>
  </si>
  <si>
    <t xml:space="preserve">R3 deck cards (critical, two-spec)</t>
  </si>
  <si>
    <t xml:space="preserve">R4 deck cards (novel combinations)</t>
  </si>
  <si>
    <t xml:space="preserve">Spec values all unique (SUMPRODUCT self-count = row count)</t>
  </si>
  <si>
    <t xml:space="preserve">Buried appendix specs referenced by faults (all six)</t>
  </si>
  <si>
    <t xml:space="preserve">Discrepancy cell W4-3 prints 340</t>
  </si>
  <si>
    <t xml:space="preserve">Reserved value 290 appears in no table</t>
  </si>
  <si>
    <t xml:space="preserve">POW binder demanded by other sectors' faults ≥ 2 (kit relevance)</t>
  </si>
  <si>
    <t xml:space="preserve">≥2</t>
  </si>
  <si>
    <t xml:space="preserve">WTR binder demanded by other sectors' faults ≥ 2 (kit relevance)</t>
  </si>
  <si>
    <t xml:space="preserve">MED binder demanded by other sectors' faults ≥ 2 (kit relevance)</t>
  </si>
  <si>
    <t xml:space="preserve">TRN binder demanded by other sectors' faults ≥ 2 (kit relevance)</t>
  </si>
  <si>
    <t xml:space="preserve">AGR binder demanded by other sectors' faults ≥ 2 (kit relevance)</t>
  </si>
  <si>
    <t xml:space="preserve">COM binder demanded by other sectors' faults ≥ 2 (kit relevance)</t>
  </si>
  <si>
    <t xml:space="preserve">All rows must read OK before printing binders or exporting faults.json.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</si>
</sst>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23.8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23.8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8</v>
      </c>
    </row>
    <row r="13" customFormat="false" ht="23.85" hidden="false" customHeight="false" outlineLevel="0" collapsed="false">
      <c r="B13" s="4" t="s">
        <v>9</v>
      </c>
    </row>
    <row r="14" customFormat="false" ht="23.8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4" t="s">
        <v>13</v>
      </c>
    </row>
    <row r="19" customFormat="false" ht="23.85" hidden="false" customHeight="false" outlineLevel="0" collapsed="false">
      <c r="B19" s="4" t="s">
        <v>14</v>
      </c>
    </row>
    <row r="20" customFormat="false" ht="23.8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/>
    </row>
    <row r="22" customFormat="false" ht="15" hidden="false" customHeight="false" outlineLevel="0" collapsed="false">
      <c r="B22" s="3" t="s">
        <v>16</v>
      </c>
    </row>
    <row r="23" customFormat="false" ht="23.85" hidden="false" customHeight="false" outlineLevel="0" collapsed="false">
      <c r="B23" s="4" t="s">
        <v>17</v>
      </c>
    </row>
    <row r="24" customFormat="false" ht="23.8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26"/>
    <col collapsed="false" customWidth="true" hidden="false" outlineLevel="0" max="9" min="9" style="0" width="44"/>
  </cols>
  <sheetData>
    <row r="1" customFormat="false" ht="35.0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</row>
    <row r="2" customFormat="false" ht="15" hidden="false" customHeight="false" outlineLevel="0" collapsed="false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7" t="n">
        <v>577</v>
      </c>
      <c r="G2" s="6" t="n">
        <f aca="false">COUNTIF(Faults!$K$2:$K$37,A2)+COUNTIF(Faults!$M$2:$M$37,A2)</f>
        <v>1</v>
      </c>
      <c r="H2" s="8" t="s">
        <v>34</v>
      </c>
      <c r="I2" s="9"/>
    </row>
    <row r="3" customFormat="false" ht="15" hidden="false" customHeight="false" outlineLevel="0" collapsed="false">
      <c r="A3" s="6" t="s">
        <v>35</v>
      </c>
      <c r="B3" s="6" t="s">
        <v>30</v>
      </c>
      <c r="C3" s="6" t="s">
        <v>31</v>
      </c>
      <c r="D3" s="6" t="s">
        <v>32</v>
      </c>
      <c r="E3" s="6" t="s">
        <v>36</v>
      </c>
      <c r="F3" s="7" t="n">
        <v>730</v>
      </c>
      <c r="G3" s="6" t="n">
        <f aca="false">COUNTIF(Faults!$K$2:$K$37,A3)+COUNTIF(Faults!$M$2:$M$37,A3)</f>
        <v>0</v>
      </c>
      <c r="H3" s="8" t="s">
        <v>37</v>
      </c>
      <c r="I3" s="9"/>
    </row>
    <row r="4" customFormat="false" ht="15" hidden="false" customHeight="false" outlineLevel="0" collapsed="false">
      <c r="A4" s="6" t="s">
        <v>38</v>
      </c>
      <c r="B4" s="6" t="s">
        <v>30</v>
      </c>
      <c r="C4" s="6" t="s">
        <v>31</v>
      </c>
      <c r="D4" s="6" t="s">
        <v>32</v>
      </c>
      <c r="E4" s="6" t="s">
        <v>39</v>
      </c>
      <c r="F4" s="7" t="n">
        <v>485</v>
      </c>
      <c r="G4" s="6" t="n">
        <f aca="false">COUNTIF(Faults!$K$2:$K$37,A4)+COUNTIF(Faults!$M$2:$M$37,A4)</f>
        <v>1</v>
      </c>
      <c r="H4" s="8" t="s">
        <v>40</v>
      </c>
      <c r="I4" s="9"/>
    </row>
    <row r="5" customFormat="false" ht="15" hidden="false" customHeight="false" outlineLevel="0" collapsed="false">
      <c r="A5" s="6" t="s">
        <v>41</v>
      </c>
      <c r="B5" s="6" t="s">
        <v>30</v>
      </c>
      <c r="C5" s="6" t="s">
        <v>31</v>
      </c>
      <c r="D5" s="6" t="s">
        <v>32</v>
      </c>
      <c r="E5" s="6" t="s">
        <v>42</v>
      </c>
      <c r="F5" s="7" t="n">
        <v>376</v>
      </c>
      <c r="G5" s="6" t="n">
        <f aca="false">COUNTIF(Faults!$K$2:$K$37,A5)+COUNTIF(Faults!$M$2:$M$37,A5)</f>
        <v>1</v>
      </c>
      <c r="H5" s="8" t="s">
        <v>43</v>
      </c>
      <c r="I5" s="9"/>
    </row>
    <row r="6" customFormat="false" ht="15" hidden="false" customHeight="false" outlineLevel="0" collapsed="false">
      <c r="A6" s="6" t="s">
        <v>44</v>
      </c>
      <c r="B6" s="6" t="s">
        <v>30</v>
      </c>
      <c r="C6" s="6" t="s">
        <v>31</v>
      </c>
      <c r="D6" s="6" t="s">
        <v>32</v>
      </c>
      <c r="E6" s="6" t="s">
        <v>45</v>
      </c>
      <c r="F6" s="7" t="n">
        <v>242</v>
      </c>
      <c r="G6" s="6" t="n">
        <f aca="false">COUNTIF(Faults!$K$2:$K$37,A6)+COUNTIF(Faults!$M$2:$M$37,A6)</f>
        <v>1</v>
      </c>
      <c r="H6" s="8" t="s">
        <v>46</v>
      </c>
      <c r="I6" s="9"/>
    </row>
    <row r="7" customFormat="false" ht="15" hidden="false" customHeight="false" outlineLevel="0" collapsed="false">
      <c r="A7" s="6" t="s">
        <v>47</v>
      </c>
      <c r="B7" s="6" t="s">
        <v>30</v>
      </c>
      <c r="C7" s="6" t="s">
        <v>48</v>
      </c>
      <c r="D7" s="6" t="s">
        <v>49</v>
      </c>
      <c r="E7" s="6" t="s">
        <v>50</v>
      </c>
      <c r="F7" s="7" t="n">
        <v>292</v>
      </c>
      <c r="G7" s="6" t="n">
        <f aca="false">COUNTIF(Faults!$K$2:$K$37,A7)+COUNTIF(Faults!$M$2:$M$37,A7)</f>
        <v>0</v>
      </c>
      <c r="H7" s="8" t="s">
        <v>37</v>
      </c>
      <c r="I7" s="9"/>
    </row>
    <row r="8" customFormat="false" ht="15" hidden="false" customHeight="false" outlineLevel="0" collapsed="false">
      <c r="A8" s="6" t="s">
        <v>51</v>
      </c>
      <c r="B8" s="6" t="s">
        <v>30</v>
      </c>
      <c r="C8" s="6" t="s">
        <v>48</v>
      </c>
      <c r="D8" s="6" t="s">
        <v>49</v>
      </c>
      <c r="E8" s="6" t="s">
        <v>52</v>
      </c>
      <c r="F8" s="7" t="n">
        <v>990</v>
      </c>
      <c r="G8" s="6" t="n">
        <f aca="false">COUNTIF(Faults!$K$2:$K$37,A8)+COUNTIF(Faults!$M$2:$M$37,A8)</f>
        <v>1</v>
      </c>
      <c r="H8" s="8" t="s">
        <v>53</v>
      </c>
      <c r="I8" s="9"/>
    </row>
    <row r="9" customFormat="false" ht="15" hidden="false" customHeight="false" outlineLevel="0" collapsed="false">
      <c r="A9" s="6" t="s">
        <v>54</v>
      </c>
      <c r="B9" s="6" t="s">
        <v>30</v>
      </c>
      <c r="C9" s="6" t="s">
        <v>48</v>
      </c>
      <c r="D9" s="6" t="s">
        <v>49</v>
      </c>
      <c r="E9" s="6" t="s">
        <v>55</v>
      </c>
      <c r="F9" s="7" t="n">
        <v>795</v>
      </c>
      <c r="G9" s="6" t="n">
        <f aca="false">COUNTIF(Faults!$K$2:$K$37,A9)+COUNTIF(Faults!$M$2:$M$37,A9)</f>
        <v>1</v>
      </c>
      <c r="H9" s="8" t="s">
        <v>56</v>
      </c>
      <c r="I9" s="9"/>
    </row>
    <row r="10" customFormat="false" ht="15" hidden="false" customHeight="false" outlineLevel="0" collapsed="false">
      <c r="A10" s="6" t="s">
        <v>57</v>
      </c>
      <c r="B10" s="6" t="s">
        <v>30</v>
      </c>
      <c r="C10" s="6" t="s">
        <v>48</v>
      </c>
      <c r="D10" s="6" t="s">
        <v>49</v>
      </c>
      <c r="E10" s="6" t="s">
        <v>58</v>
      </c>
      <c r="F10" s="7" t="n">
        <v>107</v>
      </c>
      <c r="G10" s="6" t="n">
        <f aca="false">COUNTIF(Faults!$K$2:$K$37,A10)+COUNTIF(Faults!$M$2:$M$37,A10)</f>
        <v>1</v>
      </c>
      <c r="H10" s="8" t="s">
        <v>59</v>
      </c>
      <c r="I10" s="9"/>
    </row>
    <row r="11" customFormat="false" ht="15" hidden="false" customHeight="false" outlineLevel="0" collapsed="false">
      <c r="A11" s="6" t="s">
        <v>60</v>
      </c>
      <c r="B11" s="6" t="s">
        <v>30</v>
      </c>
      <c r="C11" s="6" t="s">
        <v>48</v>
      </c>
      <c r="D11" s="6" t="s">
        <v>49</v>
      </c>
      <c r="E11" s="6" t="s">
        <v>61</v>
      </c>
      <c r="F11" s="7" t="n">
        <v>449</v>
      </c>
      <c r="G11" s="6" t="n">
        <f aca="false">COUNTIF(Faults!$K$2:$K$37,A11)+COUNTIF(Faults!$M$2:$M$37,A11)</f>
        <v>1</v>
      </c>
      <c r="H11" s="8" t="s">
        <v>62</v>
      </c>
      <c r="I11" s="9"/>
    </row>
    <row r="12" customFormat="false" ht="15" hidden="false" customHeight="false" outlineLevel="0" collapsed="false">
      <c r="A12" s="6" t="s">
        <v>63</v>
      </c>
      <c r="B12" s="6" t="s">
        <v>64</v>
      </c>
      <c r="C12" s="6" t="s">
        <v>65</v>
      </c>
      <c r="D12" s="6" t="s">
        <v>66</v>
      </c>
      <c r="E12" s="6" t="s">
        <v>67</v>
      </c>
      <c r="F12" s="7" t="n">
        <v>617</v>
      </c>
      <c r="G12" s="6" t="n">
        <f aca="false">COUNTIF(Faults!$K$2:$K$37,A12)+COUNTIF(Faults!$M$2:$M$37,A12)</f>
        <v>1</v>
      </c>
      <c r="H12" s="8" t="s">
        <v>68</v>
      </c>
      <c r="I12" s="9"/>
    </row>
    <row r="13" customFormat="false" ht="15" hidden="false" customHeight="false" outlineLevel="0" collapsed="false">
      <c r="A13" s="6" t="s">
        <v>69</v>
      </c>
      <c r="B13" s="6" t="s">
        <v>64</v>
      </c>
      <c r="C13" s="6" t="s">
        <v>65</v>
      </c>
      <c r="D13" s="6" t="s">
        <v>66</v>
      </c>
      <c r="E13" s="6" t="s">
        <v>70</v>
      </c>
      <c r="F13" s="7" t="n">
        <v>999</v>
      </c>
      <c r="G13" s="6" t="n">
        <f aca="false">COUNTIF(Faults!$K$2:$K$37,A13)+COUNTIF(Faults!$M$2:$M$37,A13)</f>
        <v>1</v>
      </c>
      <c r="H13" s="8" t="s">
        <v>71</v>
      </c>
      <c r="I13" s="9"/>
    </row>
    <row r="14" customFormat="false" ht="15" hidden="false" customHeight="false" outlineLevel="0" collapsed="false">
      <c r="A14" s="6" t="s">
        <v>72</v>
      </c>
      <c r="B14" s="6" t="s">
        <v>64</v>
      </c>
      <c r="C14" s="6" t="s">
        <v>65</v>
      </c>
      <c r="D14" s="6" t="s">
        <v>66</v>
      </c>
      <c r="E14" s="6" t="s">
        <v>73</v>
      </c>
      <c r="F14" s="7" t="n">
        <v>722</v>
      </c>
      <c r="G14" s="6" t="n">
        <f aca="false">COUNTIF(Faults!$K$2:$K$37,A14)+COUNTIF(Faults!$M$2:$M$37,A14)</f>
        <v>1</v>
      </c>
      <c r="H14" s="8" t="s">
        <v>74</v>
      </c>
      <c r="I14" s="9"/>
    </row>
    <row r="15" customFormat="false" ht="15" hidden="false" customHeight="false" outlineLevel="0" collapsed="false">
      <c r="A15" s="6" t="s">
        <v>75</v>
      </c>
      <c r="B15" s="6" t="s">
        <v>64</v>
      </c>
      <c r="C15" s="6" t="s">
        <v>65</v>
      </c>
      <c r="D15" s="6" t="s">
        <v>66</v>
      </c>
      <c r="E15" s="6" t="s">
        <v>76</v>
      </c>
      <c r="F15" s="7" t="n">
        <v>183</v>
      </c>
      <c r="G15" s="6" t="n">
        <f aca="false">COUNTIF(Faults!$K$2:$K$37,A15)+COUNTIF(Faults!$M$2:$M$37,A15)</f>
        <v>1</v>
      </c>
      <c r="H15" s="8" t="s">
        <v>77</v>
      </c>
      <c r="I15" s="9"/>
    </row>
    <row r="16" customFormat="false" ht="15" hidden="false" customHeight="false" outlineLevel="0" collapsed="false">
      <c r="A16" s="6" t="s">
        <v>78</v>
      </c>
      <c r="B16" s="6" t="s">
        <v>64</v>
      </c>
      <c r="C16" s="6" t="s">
        <v>65</v>
      </c>
      <c r="D16" s="6" t="s">
        <v>66</v>
      </c>
      <c r="E16" s="6" t="s">
        <v>79</v>
      </c>
      <c r="F16" s="7" t="n">
        <v>445</v>
      </c>
      <c r="G16" s="6" t="n">
        <f aca="false">COUNTIF(Faults!$K$2:$K$37,A16)+COUNTIF(Faults!$M$2:$M$37,A16)</f>
        <v>1</v>
      </c>
      <c r="H16" s="8" t="s">
        <v>80</v>
      </c>
      <c r="I16" s="9"/>
    </row>
    <row r="17" customFormat="false" ht="15" hidden="false" customHeight="false" outlineLevel="0" collapsed="false">
      <c r="A17" s="6" t="s">
        <v>81</v>
      </c>
      <c r="B17" s="6" t="s">
        <v>64</v>
      </c>
      <c r="C17" s="6" t="s">
        <v>82</v>
      </c>
      <c r="D17" s="6" t="s">
        <v>83</v>
      </c>
      <c r="E17" s="6" t="s">
        <v>84</v>
      </c>
      <c r="F17" s="7" t="n">
        <v>670</v>
      </c>
      <c r="G17" s="6" t="n">
        <f aca="false">COUNTIF(Faults!$K$2:$K$37,A17)+COUNTIF(Faults!$M$2:$M$37,A17)</f>
        <v>0</v>
      </c>
      <c r="H17" s="8" t="s">
        <v>37</v>
      </c>
      <c r="I17" s="9"/>
    </row>
    <row r="18" customFormat="false" ht="15" hidden="false" customHeight="false" outlineLevel="0" collapsed="false">
      <c r="A18" s="6" t="s">
        <v>85</v>
      </c>
      <c r="B18" s="6" t="s">
        <v>64</v>
      </c>
      <c r="C18" s="6" t="s">
        <v>82</v>
      </c>
      <c r="D18" s="6" t="s">
        <v>83</v>
      </c>
      <c r="E18" s="6" t="s">
        <v>86</v>
      </c>
      <c r="F18" s="7" t="n">
        <v>734</v>
      </c>
      <c r="G18" s="6" t="n">
        <f aca="false">COUNTIF(Faults!$K$2:$K$37,A18)+COUNTIF(Faults!$M$2:$M$37,A18)</f>
        <v>0</v>
      </c>
      <c r="H18" s="8" t="s">
        <v>37</v>
      </c>
      <c r="I18" s="9"/>
    </row>
    <row r="19" customFormat="false" ht="23.85" hidden="false" customHeight="false" outlineLevel="0" collapsed="false">
      <c r="A19" s="10" t="s">
        <v>87</v>
      </c>
      <c r="B19" s="10" t="s">
        <v>64</v>
      </c>
      <c r="C19" s="10" t="s">
        <v>82</v>
      </c>
      <c r="D19" s="10" t="s">
        <v>83</v>
      </c>
      <c r="E19" s="10" t="s">
        <v>88</v>
      </c>
      <c r="F19" s="11" t="n">
        <v>340</v>
      </c>
      <c r="G19" s="10" t="n">
        <f aca="false">COUNTIF(Faults!$K$2:$K$37,A19)+COUNTIF(Faults!$M$2:$M$37,A19)</f>
        <v>1</v>
      </c>
      <c r="H19" s="12" t="s">
        <v>89</v>
      </c>
      <c r="I19" s="13" t="s">
        <v>90</v>
      </c>
    </row>
    <row r="20" customFormat="false" ht="15" hidden="false" customHeight="false" outlineLevel="0" collapsed="false">
      <c r="A20" s="6" t="s">
        <v>91</v>
      </c>
      <c r="B20" s="6" t="s">
        <v>64</v>
      </c>
      <c r="C20" s="6" t="s">
        <v>82</v>
      </c>
      <c r="D20" s="6" t="s">
        <v>83</v>
      </c>
      <c r="E20" s="6" t="s">
        <v>92</v>
      </c>
      <c r="F20" s="7" t="n">
        <v>819</v>
      </c>
      <c r="G20" s="6" t="n">
        <f aca="false">COUNTIF(Faults!$K$2:$K$37,A20)+COUNTIF(Faults!$M$2:$M$37,A20)</f>
        <v>0</v>
      </c>
      <c r="H20" s="8" t="s">
        <v>37</v>
      </c>
      <c r="I20" s="9"/>
    </row>
    <row r="21" customFormat="false" ht="15" hidden="false" customHeight="false" outlineLevel="0" collapsed="false">
      <c r="A21" s="6" t="s">
        <v>93</v>
      </c>
      <c r="B21" s="6" t="s">
        <v>64</v>
      </c>
      <c r="C21" s="6" t="s">
        <v>82</v>
      </c>
      <c r="D21" s="6" t="s">
        <v>83</v>
      </c>
      <c r="E21" s="6" t="s">
        <v>94</v>
      </c>
      <c r="F21" s="7" t="n">
        <v>142</v>
      </c>
      <c r="G21" s="6" t="n">
        <f aca="false">COUNTIF(Faults!$K$2:$K$37,A21)+COUNTIF(Faults!$M$2:$M$37,A21)</f>
        <v>1</v>
      </c>
      <c r="H21" s="8" t="s">
        <v>95</v>
      </c>
      <c r="I21" s="9"/>
    </row>
    <row r="22" customFormat="false" ht="15" hidden="false" customHeight="false" outlineLevel="0" collapsed="false">
      <c r="A22" s="6" t="s">
        <v>96</v>
      </c>
      <c r="B22" s="6" t="s">
        <v>97</v>
      </c>
      <c r="C22" s="6" t="s">
        <v>98</v>
      </c>
      <c r="D22" s="6" t="s">
        <v>99</v>
      </c>
      <c r="E22" s="6" t="s">
        <v>100</v>
      </c>
      <c r="F22" s="7" t="n">
        <v>848</v>
      </c>
      <c r="G22" s="6" t="n">
        <f aca="false">COUNTIF(Faults!$K$2:$K$37,A22)+COUNTIF(Faults!$M$2:$M$37,A22)</f>
        <v>1</v>
      </c>
      <c r="H22" s="8" t="s">
        <v>101</v>
      </c>
      <c r="I22" s="9"/>
    </row>
    <row r="23" customFormat="false" ht="15" hidden="false" customHeight="false" outlineLevel="0" collapsed="false">
      <c r="A23" s="6" t="s">
        <v>102</v>
      </c>
      <c r="B23" s="6" t="s">
        <v>97</v>
      </c>
      <c r="C23" s="6" t="s">
        <v>98</v>
      </c>
      <c r="D23" s="6" t="s">
        <v>99</v>
      </c>
      <c r="E23" s="6" t="s">
        <v>103</v>
      </c>
      <c r="F23" s="7" t="n">
        <v>491</v>
      </c>
      <c r="G23" s="6" t="n">
        <f aca="false">COUNTIF(Faults!$K$2:$K$37,A23)+COUNTIF(Faults!$M$2:$M$37,A23)</f>
        <v>0</v>
      </c>
      <c r="H23" s="8" t="s">
        <v>37</v>
      </c>
      <c r="I23" s="9"/>
    </row>
    <row r="24" customFormat="false" ht="15" hidden="false" customHeight="false" outlineLevel="0" collapsed="false">
      <c r="A24" s="6" t="s">
        <v>104</v>
      </c>
      <c r="B24" s="6" t="s">
        <v>97</v>
      </c>
      <c r="C24" s="6" t="s">
        <v>98</v>
      </c>
      <c r="D24" s="6" t="s">
        <v>99</v>
      </c>
      <c r="E24" s="6" t="s">
        <v>105</v>
      </c>
      <c r="F24" s="7" t="n">
        <v>274</v>
      </c>
      <c r="G24" s="6" t="n">
        <f aca="false">COUNTIF(Faults!$K$2:$K$37,A24)+COUNTIF(Faults!$M$2:$M$37,A24)</f>
        <v>1</v>
      </c>
      <c r="H24" s="8" t="s">
        <v>106</v>
      </c>
      <c r="I24" s="9"/>
    </row>
    <row r="25" customFormat="false" ht="15" hidden="false" customHeight="false" outlineLevel="0" collapsed="false">
      <c r="A25" s="6" t="s">
        <v>107</v>
      </c>
      <c r="B25" s="6" t="s">
        <v>97</v>
      </c>
      <c r="C25" s="6" t="s">
        <v>98</v>
      </c>
      <c r="D25" s="6" t="s">
        <v>99</v>
      </c>
      <c r="E25" s="6" t="s">
        <v>108</v>
      </c>
      <c r="F25" s="7" t="n">
        <v>823</v>
      </c>
      <c r="G25" s="6" t="n">
        <f aca="false">COUNTIF(Faults!$K$2:$K$37,A25)+COUNTIF(Faults!$M$2:$M$37,A25)</f>
        <v>0</v>
      </c>
      <c r="H25" s="8" t="s">
        <v>37</v>
      </c>
      <c r="I25" s="9"/>
    </row>
    <row r="26" customFormat="false" ht="15" hidden="false" customHeight="false" outlineLevel="0" collapsed="false">
      <c r="A26" s="6" t="s">
        <v>109</v>
      </c>
      <c r="B26" s="6" t="s">
        <v>97</v>
      </c>
      <c r="C26" s="6" t="s">
        <v>98</v>
      </c>
      <c r="D26" s="6" t="s">
        <v>99</v>
      </c>
      <c r="E26" s="6" t="s">
        <v>110</v>
      </c>
      <c r="F26" s="7" t="n">
        <v>565</v>
      </c>
      <c r="G26" s="6" t="n">
        <f aca="false">COUNTIF(Faults!$K$2:$K$37,A26)+COUNTIF(Faults!$M$2:$M$37,A26)</f>
        <v>1</v>
      </c>
      <c r="H26" s="8" t="s">
        <v>111</v>
      </c>
      <c r="I26" s="9"/>
    </row>
    <row r="27" customFormat="false" ht="15" hidden="false" customHeight="false" outlineLevel="0" collapsed="false">
      <c r="A27" s="6" t="s">
        <v>112</v>
      </c>
      <c r="B27" s="6" t="s">
        <v>97</v>
      </c>
      <c r="C27" s="6" t="s">
        <v>113</v>
      </c>
      <c r="D27" s="6" t="s">
        <v>114</v>
      </c>
      <c r="E27" s="6" t="s">
        <v>115</v>
      </c>
      <c r="F27" s="7" t="n">
        <v>845</v>
      </c>
      <c r="G27" s="6" t="n">
        <f aca="false">COUNTIF(Faults!$K$2:$K$37,A27)+COUNTIF(Faults!$M$2:$M$37,A27)</f>
        <v>0</v>
      </c>
      <c r="H27" s="8" t="s">
        <v>37</v>
      </c>
      <c r="I27" s="9"/>
    </row>
    <row r="28" customFormat="false" ht="15" hidden="false" customHeight="false" outlineLevel="0" collapsed="false">
      <c r="A28" s="6" t="s">
        <v>116</v>
      </c>
      <c r="B28" s="6" t="s">
        <v>97</v>
      </c>
      <c r="C28" s="6" t="s">
        <v>113</v>
      </c>
      <c r="D28" s="6" t="s">
        <v>114</v>
      </c>
      <c r="E28" s="6" t="s">
        <v>117</v>
      </c>
      <c r="F28" s="7" t="n">
        <v>535</v>
      </c>
      <c r="G28" s="6" t="n">
        <f aca="false">COUNTIF(Faults!$K$2:$K$37,A28)+COUNTIF(Faults!$M$2:$M$37,A28)</f>
        <v>1</v>
      </c>
      <c r="H28" s="8" t="s">
        <v>118</v>
      </c>
      <c r="I28" s="9"/>
    </row>
    <row r="29" customFormat="false" ht="15" hidden="false" customHeight="false" outlineLevel="0" collapsed="false">
      <c r="A29" s="6" t="s">
        <v>119</v>
      </c>
      <c r="B29" s="6" t="s">
        <v>97</v>
      </c>
      <c r="C29" s="6" t="s">
        <v>113</v>
      </c>
      <c r="D29" s="6" t="s">
        <v>114</v>
      </c>
      <c r="E29" s="6" t="s">
        <v>120</v>
      </c>
      <c r="F29" s="7" t="n">
        <v>261</v>
      </c>
      <c r="G29" s="6" t="n">
        <f aca="false">COUNTIF(Faults!$K$2:$K$37,A29)+COUNTIF(Faults!$M$2:$M$37,A29)</f>
        <v>1</v>
      </c>
      <c r="H29" s="8" t="s">
        <v>95</v>
      </c>
      <c r="I29" s="9"/>
    </row>
    <row r="30" customFormat="false" ht="15" hidden="false" customHeight="false" outlineLevel="0" collapsed="false">
      <c r="A30" s="6" t="s">
        <v>121</v>
      </c>
      <c r="B30" s="6" t="s">
        <v>97</v>
      </c>
      <c r="C30" s="6" t="s">
        <v>113</v>
      </c>
      <c r="D30" s="6" t="s">
        <v>114</v>
      </c>
      <c r="E30" s="6" t="s">
        <v>122</v>
      </c>
      <c r="F30" s="7" t="n">
        <v>273</v>
      </c>
      <c r="G30" s="6" t="n">
        <f aca="false">COUNTIF(Faults!$K$2:$K$37,A30)+COUNTIF(Faults!$M$2:$M$37,A30)</f>
        <v>1</v>
      </c>
      <c r="H30" s="8" t="s">
        <v>123</v>
      </c>
      <c r="I30" s="9"/>
    </row>
    <row r="31" customFormat="false" ht="15" hidden="false" customHeight="false" outlineLevel="0" collapsed="false">
      <c r="A31" s="6" t="s">
        <v>124</v>
      </c>
      <c r="B31" s="6" t="s">
        <v>97</v>
      </c>
      <c r="C31" s="6" t="s">
        <v>113</v>
      </c>
      <c r="D31" s="6" t="s">
        <v>114</v>
      </c>
      <c r="E31" s="6" t="s">
        <v>125</v>
      </c>
      <c r="F31" s="7" t="n">
        <v>346</v>
      </c>
      <c r="G31" s="6" t="n">
        <f aca="false">COUNTIF(Faults!$K$2:$K$37,A31)+COUNTIF(Faults!$M$2:$M$37,A31)</f>
        <v>0</v>
      </c>
      <c r="H31" s="8" t="s">
        <v>37</v>
      </c>
      <c r="I31" s="9"/>
    </row>
    <row r="32" customFormat="false" ht="15" hidden="false" customHeight="false" outlineLevel="0" collapsed="false">
      <c r="A32" s="6" t="s">
        <v>126</v>
      </c>
      <c r="B32" s="6" t="s">
        <v>127</v>
      </c>
      <c r="C32" s="6" t="s">
        <v>128</v>
      </c>
      <c r="D32" s="6" t="s">
        <v>129</v>
      </c>
      <c r="E32" s="6" t="s">
        <v>130</v>
      </c>
      <c r="F32" s="7" t="n">
        <v>153</v>
      </c>
      <c r="G32" s="6" t="n">
        <f aca="false">COUNTIF(Faults!$K$2:$K$37,A32)+COUNTIF(Faults!$M$2:$M$37,A32)</f>
        <v>1</v>
      </c>
      <c r="H32" s="8" t="s">
        <v>131</v>
      </c>
      <c r="I32" s="9"/>
    </row>
    <row r="33" customFormat="false" ht="15" hidden="false" customHeight="false" outlineLevel="0" collapsed="false">
      <c r="A33" s="6" t="s">
        <v>132</v>
      </c>
      <c r="B33" s="6" t="s">
        <v>127</v>
      </c>
      <c r="C33" s="6" t="s">
        <v>128</v>
      </c>
      <c r="D33" s="6" t="s">
        <v>129</v>
      </c>
      <c r="E33" s="6" t="s">
        <v>133</v>
      </c>
      <c r="F33" s="7" t="n">
        <v>214</v>
      </c>
      <c r="G33" s="6" t="n">
        <f aca="false">COUNTIF(Faults!$K$2:$K$37,A33)+COUNTIF(Faults!$M$2:$M$37,A33)</f>
        <v>1</v>
      </c>
      <c r="H33" s="8" t="s">
        <v>134</v>
      </c>
      <c r="I33" s="9"/>
    </row>
    <row r="34" customFormat="false" ht="15" hidden="false" customHeight="false" outlineLevel="0" collapsed="false">
      <c r="A34" s="6" t="s">
        <v>135</v>
      </c>
      <c r="B34" s="6" t="s">
        <v>127</v>
      </c>
      <c r="C34" s="6" t="s">
        <v>128</v>
      </c>
      <c r="D34" s="6" t="s">
        <v>129</v>
      </c>
      <c r="E34" s="6" t="s">
        <v>136</v>
      </c>
      <c r="F34" s="7" t="n">
        <v>236</v>
      </c>
      <c r="G34" s="6" t="n">
        <f aca="false">COUNTIF(Faults!$K$2:$K$37,A34)+COUNTIF(Faults!$M$2:$M$37,A34)</f>
        <v>0</v>
      </c>
      <c r="H34" s="8" t="s">
        <v>37</v>
      </c>
      <c r="I34" s="9"/>
    </row>
    <row r="35" customFormat="false" ht="15" hidden="false" customHeight="false" outlineLevel="0" collapsed="false">
      <c r="A35" s="6" t="s">
        <v>137</v>
      </c>
      <c r="B35" s="6" t="s">
        <v>127</v>
      </c>
      <c r="C35" s="6" t="s">
        <v>128</v>
      </c>
      <c r="D35" s="6" t="s">
        <v>129</v>
      </c>
      <c r="E35" s="6" t="s">
        <v>138</v>
      </c>
      <c r="F35" s="7" t="n">
        <v>621</v>
      </c>
      <c r="G35" s="6" t="n">
        <f aca="false">COUNTIF(Faults!$K$2:$K$37,A35)+COUNTIF(Faults!$M$2:$M$37,A35)</f>
        <v>1</v>
      </c>
      <c r="H35" s="8" t="s">
        <v>139</v>
      </c>
      <c r="I35" s="9"/>
    </row>
    <row r="36" customFormat="false" ht="15" hidden="false" customHeight="false" outlineLevel="0" collapsed="false">
      <c r="A36" s="6" t="s">
        <v>140</v>
      </c>
      <c r="B36" s="6" t="s">
        <v>127</v>
      </c>
      <c r="C36" s="6" t="s">
        <v>128</v>
      </c>
      <c r="D36" s="6" t="s">
        <v>129</v>
      </c>
      <c r="E36" s="6" t="s">
        <v>141</v>
      </c>
      <c r="F36" s="7" t="n">
        <v>707</v>
      </c>
      <c r="G36" s="6" t="n">
        <f aca="false">COUNTIF(Faults!$K$2:$K$37,A36)+COUNTIF(Faults!$M$2:$M$37,A36)</f>
        <v>1</v>
      </c>
      <c r="H36" s="8" t="s">
        <v>62</v>
      </c>
      <c r="I36" s="9"/>
    </row>
    <row r="37" customFormat="false" ht="15" hidden="false" customHeight="false" outlineLevel="0" collapsed="false">
      <c r="A37" s="6" t="s">
        <v>142</v>
      </c>
      <c r="B37" s="6" t="s">
        <v>127</v>
      </c>
      <c r="C37" s="6" t="s">
        <v>143</v>
      </c>
      <c r="D37" s="6" t="s">
        <v>144</v>
      </c>
      <c r="E37" s="6" t="s">
        <v>145</v>
      </c>
      <c r="F37" s="7" t="n">
        <v>165</v>
      </c>
      <c r="G37" s="6" t="n">
        <f aca="false">COUNTIF(Faults!$K$2:$K$37,A37)+COUNTIF(Faults!$M$2:$M$37,A37)</f>
        <v>0</v>
      </c>
      <c r="H37" s="8" t="s">
        <v>37</v>
      </c>
      <c r="I37" s="9"/>
    </row>
    <row r="38" customFormat="false" ht="15" hidden="false" customHeight="false" outlineLevel="0" collapsed="false">
      <c r="A38" s="6" t="s">
        <v>146</v>
      </c>
      <c r="B38" s="6" t="s">
        <v>127</v>
      </c>
      <c r="C38" s="6" t="s">
        <v>143</v>
      </c>
      <c r="D38" s="6" t="s">
        <v>144</v>
      </c>
      <c r="E38" s="6" t="s">
        <v>147</v>
      </c>
      <c r="F38" s="7" t="n">
        <v>895</v>
      </c>
      <c r="G38" s="6" t="n">
        <f aca="false">COUNTIF(Faults!$K$2:$K$37,A38)+COUNTIF(Faults!$M$2:$M$37,A38)</f>
        <v>1</v>
      </c>
      <c r="H38" s="8" t="s">
        <v>148</v>
      </c>
      <c r="I38" s="9"/>
    </row>
    <row r="39" customFormat="false" ht="15" hidden="false" customHeight="false" outlineLevel="0" collapsed="false">
      <c r="A39" s="6" t="s">
        <v>149</v>
      </c>
      <c r="B39" s="6" t="s">
        <v>127</v>
      </c>
      <c r="C39" s="6" t="s">
        <v>143</v>
      </c>
      <c r="D39" s="6" t="s">
        <v>144</v>
      </c>
      <c r="E39" s="6" t="s">
        <v>150</v>
      </c>
      <c r="F39" s="7" t="n">
        <v>807</v>
      </c>
      <c r="G39" s="6" t="n">
        <f aca="false">COUNTIF(Faults!$K$2:$K$37,A39)+COUNTIF(Faults!$M$2:$M$37,A39)</f>
        <v>0</v>
      </c>
      <c r="H39" s="8" t="s">
        <v>37</v>
      </c>
      <c r="I39" s="9"/>
    </row>
    <row r="40" customFormat="false" ht="15" hidden="false" customHeight="false" outlineLevel="0" collapsed="false">
      <c r="A40" s="6" t="s">
        <v>151</v>
      </c>
      <c r="B40" s="6" t="s">
        <v>127</v>
      </c>
      <c r="C40" s="6" t="s">
        <v>143</v>
      </c>
      <c r="D40" s="6" t="s">
        <v>144</v>
      </c>
      <c r="E40" s="6" t="s">
        <v>152</v>
      </c>
      <c r="F40" s="7" t="n">
        <v>495</v>
      </c>
      <c r="G40" s="6" t="n">
        <f aca="false">COUNTIF(Faults!$K$2:$K$37,A40)+COUNTIF(Faults!$M$2:$M$37,A40)</f>
        <v>1</v>
      </c>
      <c r="H40" s="8" t="s">
        <v>46</v>
      </c>
      <c r="I40" s="9"/>
    </row>
    <row r="41" customFormat="false" ht="15" hidden="false" customHeight="false" outlineLevel="0" collapsed="false">
      <c r="A41" s="6" t="s">
        <v>153</v>
      </c>
      <c r="B41" s="6" t="s">
        <v>127</v>
      </c>
      <c r="C41" s="6" t="s">
        <v>143</v>
      </c>
      <c r="D41" s="6" t="s">
        <v>144</v>
      </c>
      <c r="E41" s="6" t="s">
        <v>154</v>
      </c>
      <c r="F41" s="7" t="n">
        <v>911</v>
      </c>
      <c r="G41" s="6" t="n">
        <f aca="false">COUNTIF(Faults!$K$2:$K$37,A41)+COUNTIF(Faults!$M$2:$M$37,A41)</f>
        <v>0</v>
      </c>
      <c r="H41" s="8" t="s">
        <v>37</v>
      </c>
      <c r="I41" s="9"/>
    </row>
    <row r="42" customFormat="false" ht="15" hidden="false" customHeight="false" outlineLevel="0" collapsed="false">
      <c r="A42" s="6" t="s">
        <v>155</v>
      </c>
      <c r="B42" s="6" t="s">
        <v>156</v>
      </c>
      <c r="C42" s="6" t="s">
        <v>157</v>
      </c>
      <c r="D42" s="6" t="s">
        <v>158</v>
      </c>
      <c r="E42" s="6" t="s">
        <v>159</v>
      </c>
      <c r="F42" s="7" t="n">
        <v>867</v>
      </c>
      <c r="G42" s="6" t="n">
        <f aca="false">COUNTIF(Faults!$K$2:$K$37,A42)+COUNTIF(Faults!$M$2:$M$37,A42)</f>
        <v>1</v>
      </c>
      <c r="H42" s="8" t="s">
        <v>160</v>
      </c>
      <c r="I42" s="9"/>
    </row>
    <row r="43" customFormat="false" ht="15" hidden="false" customHeight="false" outlineLevel="0" collapsed="false">
      <c r="A43" s="6" t="s">
        <v>161</v>
      </c>
      <c r="B43" s="6" t="s">
        <v>156</v>
      </c>
      <c r="C43" s="6" t="s">
        <v>157</v>
      </c>
      <c r="D43" s="6" t="s">
        <v>158</v>
      </c>
      <c r="E43" s="6" t="s">
        <v>162</v>
      </c>
      <c r="F43" s="7" t="n">
        <v>205</v>
      </c>
      <c r="G43" s="6" t="n">
        <f aca="false">COUNTIF(Faults!$K$2:$K$37,A43)+COUNTIF(Faults!$M$2:$M$37,A43)</f>
        <v>1</v>
      </c>
      <c r="H43" s="8" t="s">
        <v>163</v>
      </c>
      <c r="I43" s="9"/>
    </row>
    <row r="44" customFormat="false" ht="15" hidden="false" customHeight="false" outlineLevel="0" collapsed="false">
      <c r="A44" s="6" t="s">
        <v>164</v>
      </c>
      <c r="B44" s="6" t="s">
        <v>156</v>
      </c>
      <c r="C44" s="6" t="s">
        <v>157</v>
      </c>
      <c r="D44" s="6" t="s">
        <v>158</v>
      </c>
      <c r="E44" s="6" t="s">
        <v>165</v>
      </c>
      <c r="F44" s="7" t="n">
        <v>401</v>
      </c>
      <c r="G44" s="6" t="n">
        <f aca="false">COUNTIF(Faults!$K$2:$K$37,A44)+COUNTIF(Faults!$M$2:$M$37,A44)</f>
        <v>0</v>
      </c>
      <c r="H44" s="8" t="s">
        <v>37</v>
      </c>
      <c r="I44" s="9"/>
    </row>
    <row r="45" customFormat="false" ht="15" hidden="false" customHeight="false" outlineLevel="0" collapsed="false">
      <c r="A45" s="6" t="s">
        <v>166</v>
      </c>
      <c r="B45" s="6" t="s">
        <v>156</v>
      </c>
      <c r="C45" s="6" t="s">
        <v>157</v>
      </c>
      <c r="D45" s="6" t="s">
        <v>158</v>
      </c>
      <c r="E45" s="6" t="s">
        <v>167</v>
      </c>
      <c r="F45" s="7" t="n">
        <v>311</v>
      </c>
      <c r="G45" s="6" t="n">
        <f aca="false">COUNTIF(Faults!$K$2:$K$37,A45)+COUNTIF(Faults!$M$2:$M$37,A45)</f>
        <v>1</v>
      </c>
      <c r="H45" s="8" t="s">
        <v>168</v>
      </c>
      <c r="I45" s="9"/>
    </row>
    <row r="46" customFormat="false" ht="15" hidden="false" customHeight="false" outlineLevel="0" collapsed="false">
      <c r="A46" s="6" t="s">
        <v>169</v>
      </c>
      <c r="B46" s="6" t="s">
        <v>156</v>
      </c>
      <c r="C46" s="6" t="s">
        <v>157</v>
      </c>
      <c r="D46" s="6" t="s">
        <v>158</v>
      </c>
      <c r="E46" s="6" t="s">
        <v>170</v>
      </c>
      <c r="F46" s="7" t="n">
        <v>793</v>
      </c>
      <c r="G46" s="6" t="n">
        <f aca="false">COUNTIF(Faults!$K$2:$K$37,A46)+COUNTIF(Faults!$M$2:$M$37,A46)</f>
        <v>1</v>
      </c>
      <c r="H46" s="8" t="s">
        <v>171</v>
      </c>
      <c r="I46" s="9"/>
    </row>
    <row r="47" customFormat="false" ht="15" hidden="false" customHeight="false" outlineLevel="0" collapsed="false">
      <c r="A47" s="6" t="s">
        <v>172</v>
      </c>
      <c r="B47" s="6" t="s">
        <v>156</v>
      </c>
      <c r="C47" s="6" t="s">
        <v>173</v>
      </c>
      <c r="D47" s="6" t="s">
        <v>174</v>
      </c>
      <c r="E47" s="6" t="s">
        <v>175</v>
      </c>
      <c r="F47" s="7" t="n">
        <v>331</v>
      </c>
      <c r="G47" s="6" t="n">
        <f aca="false">COUNTIF(Faults!$K$2:$K$37,A47)+COUNTIF(Faults!$M$2:$M$37,A47)</f>
        <v>0</v>
      </c>
      <c r="H47" s="8" t="s">
        <v>37</v>
      </c>
      <c r="I47" s="9"/>
    </row>
    <row r="48" customFormat="false" ht="15" hidden="false" customHeight="false" outlineLevel="0" collapsed="false">
      <c r="A48" s="6" t="s">
        <v>176</v>
      </c>
      <c r="B48" s="6" t="s">
        <v>156</v>
      </c>
      <c r="C48" s="6" t="s">
        <v>173</v>
      </c>
      <c r="D48" s="6" t="s">
        <v>174</v>
      </c>
      <c r="E48" s="6" t="s">
        <v>177</v>
      </c>
      <c r="F48" s="7" t="n">
        <v>846</v>
      </c>
      <c r="G48" s="6" t="n">
        <f aca="false">COUNTIF(Faults!$K$2:$K$37,A48)+COUNTIF(Faults!$M$2:$M$37,A48)</f>
        <v>0</v>
      </c>
      <c r="H48" s="8" t="s">
        <v>37</v>
      </c>
      <c r="I48" s="9"/>
    </row>
    <row r="49" customFormat="false" ht="15" hidden="false" customHeight="false" outlineLevel="0" collapsed="false">
      <c r="A49" s="6" t="s">
        <v>178</v>
      </c>
      <c r="B49" s="6" t="s">
        <v>156</v>
      </c>
      <c r="C49" s="6" t="s">
        <v>173</v>
      </c>
      <c r="D49" s="6" t="s">
        <v>174</v>
      </c>
      <c r="E49" s="6" t="s">
        <v>179</v>
      </c>
      <c r="F49" s="7" t="n">
        <v>915</v>
      </c>
      <c r="G49" s="6" t="n">
        <f aca="false">COUNTIF(Faults!$K$2:$K$37,A49)+COUNTIF(Faults!$M$2:$M$37,A49)</f>
        <v>1</v>
      </c>
      <c r="H49" s="8" t="s">
        <v>180</v>
      </c>
      <c r="I49" s="9"/>
    </row>
    <row r="50" customFormat="false" ht="15" hidden="false" customHeight="false" outlineLevel="0" collapsed="false">
      <c r="A50" s="6" t="s">
        <v>181</v>
      </c>
      <c r="B50" s="6" t="s">
        <v>156</v>
      </c>
      <c r="C50" s="6" t="s">
        <v>173</v>
      </c>
      <c r="D50" s="6" t="s">
        <v>174</v>
      </c>
      <c r="E50" s="6" t="s">
        <v>182</v>
      </c>
      <c r="F50" s="7" t="n">
        <v>534</v>
      </c>
      <c r="G50" s="6" t="n">
        <f aca="false">COUNTIF(Faults!$K$2:$K$37,A50)+COUNTIF(Faults!$M$2:$M$37,A50)</f>
        <v>1</v>
      </c>
      <c r="H50" s="8" t="s">
        <v>183</v>
      </c>
      <c r="I50" s="9"/>
    </row>
    <row r="51" customFormat="false" ht="15" hidden="false" customHeight="false" outlineLevel="0" collapsed="false">
      <c r="A51" s="6" t="s">
        <v>184</v>
      </c>
      <c r="B51" s="6" t="s">
        <v>156</v>
      </c>
      <c r="C51" s="6" t="s">
        <v>173</v>
      </c>
      <c r="D51" s="6" t="s">
        <v>174</v>
      </c>
      <c r="E51" s="6" t="s">
        <v>185</v>
      </c>
      <c r="F51" s="7" t="n">
        <v>190</v>
      </c>
      <c r="G51" s="6" t="n">
        <f aca="false">COUNTIF(Faults!$K$2:$K$37,A51)+COUNTIF(Faults!$M$2:$M$37,A51)</f>
        <v>0</v>
      </c>
      <c r="H51" s="8" t="s">
        <v>37</v>
      </c>
      <c r="I51" s="9"/>
    </row>
    <row r="52" customFormat="false" ht="15" hidden="false" customHeight="false" outlineLevel="0" collapsed="false">
      <c r="A52" s="6" t="s">
        <v>186</v>
      </c>
      <c r="B52" s="6" t="s">
        <v>187</v>
      </c>
      <c r="C52" s="6" t="s">
        <v>188</v>
      </c>
      <c r="D52" s="6" t="s">
        <v>189</v>
      </c>
      <c r="E52" s="6" t="s">
        <v>190</v>
      </c>
      <c r="F52" s="7" t="n">
        <v>894</v>
      </c>
      <c r="G52" s="6" t="n">
        <f aca="false">COUNTIF(Faults!$K$2:$K$37,A52)+COUNTIF(Faults!$M$2:$M$37,A52)</f>
        <v>1</v>
      </c>
      <c r="H52" s="8" t="s">
        <v>191</v>
      </c>
      <c r="I52" s="9"/>
    </row>
    <row r="53" customFormat="false" ht="15" hidden="false" customHeight="false" outlineLevel="0" collapsed="false">
      <c r="A53" s="6" t="s">
        <v>192</v>
      </c>
      <c r="B53" s="6" t="s">
        <v>187</v>
      </c>
      <c r="C53" s="6" t="s">
        <v>188</v>
      </c>
      <c r="D53" s="6" t="s">
        <v>189</v>
      </c>
      <c r="E53" s="6" t="s">
        <v>193</v>
      </c>
      <c r="F53" s="7" t="n">
        <v>996</v>
      </c>
      <c r="G53" s="6" t="n">
        <f aca="false">COUNTIF(Faults!$K$2:$K$37,A53)+COUNTIF(Faults!$M$2:$M$37,A53)</f>
        <v>1</v>
      </c>
      <c r="H53" s="8" t="s">
        <v>194</v>
      </c>
      <c r="I53" s="9"/>
    </row>
    <row r="54" customFormat="false" ht="15" hidden="false" customHeight="false" outlineLevel="0" collapsed="false">
      <c r="A54" s="6" t="s">
        <v>195</v>
      </c>
      <c r="B54" s="6" t="s">
        <v>187</v>
      </c>
      <c r="C54" s="6" t="s">
        <v>188</v>
      </c>
      <c r="D54" s="6" t="s">
        <v>189</v>
      </c>
      <c r="E54" s="6" t="s">
        <v>196</v>
      </c>
      <c r="F54" s="7" t="n">
        <v>316</v>
      </c>
      <c r="G54" s="6" t="n">
        <f aca="false">COUNTIF(Faults!$K$2:$K$37,A54)+COUNTIF(Faults!$M$2:$M$37,A54)</f>
        <v>0</v>
      </c>
      <c r="H54" s="8" t="s">
        <v>37</v>
      </c>
      <c r="I54" s="9"/>
    </row>
    <row r="55" customFormat="false" ht="15" hidden="false" customHeight="false" outlineLevel="0" collapsed="false">
      <c r="A55" s="6" t="s">
        <v>197</v>
      </c>
      <c r="B55" s="6" t="s">
        <v>187</v>
      </c>
      <c r="C55" s="6" t="s">
        <v>188</v>
      </c>
      <c r="D55" s="6" t="s">
        <v>189</v>
      </c>
      <c r="E55" s="6" t="s">
        <v>198</v>
      </c>
      <c r="F55" s="7" t="n">
        <v>509</v>
      </c>
      <c r="G55" s="6" t="n">
        <f aca="false">COUNTIF(Faults!$K$2:$K$37,A55)+COUNTIF(Faults!$M$2:$M$37,A55)</f>
        <v>1</v>
      </c>
      <c r="H55" s="8" t="s">
        <v>171</v>
      </c>
      <c r="I55" s="9"/>
    </row>
    <row r="56" customFormat="false" ht="15" hidden="false" customHeight="false" outlineLevel="0" collapsed="false">
      <c r="A56" s="6" t="s">
        <v>199</v>
      </c>
      <c r="B56" s="6" t="s">
        <v>187</v>
      </c>
      <c r="C56" s="6" t="s">
        <v>188</v>
      </c>
      <c r="D56" s="6" t="s">
        <v>189</v>
      </c>
      <c r="E56" s="6" t="s">
        <v>200</v>
      </c>
      <c r="F56" s="7" t="n">
        <v>390</v>
      </c>
      <c r="G56" s="6" t="n">
        <f aca="false">COUNTIF(Faults!$K$2:$K$37,A56)+COUNTIF(Faults!$M$2:$M$37,A56)</f>
        <v>1</v>
      </c>
      <c r="H56" s="8" t="s">
        <v>201</v>
      </c>
      <c r="I56" s="9"/>
    </row>
    <row r="57" customFormat="false" ht="15" hidden="false" customHeight="false" outlineLevel="0" collapsed="false">
      <c r="A57" s="6" t="s">
        <v>202</v>
      </c>
      <c r="B57" s="6" t="s">
        <v>187</v>
      </c>
      <c r="C57" s="6" t="s">
        <v>203</v>
      </c>
      <c r="D57" s="6" t="s">
        <v>204</v>
      </c>
      <c r="E57" s="6" t="s">
        <v>205</v>
      </c>
      <c r="F57" s="7" t="n">
        <v>452</v>
      </c>
      <c r="G57" s="6" t="n">
        <f aca="false">COUNTIF(Faults!$K$2:$K$37,A57)+COUNTIF(Faults!$M$2:$M$37,A57)</f>
        <v>0</v>
      </c>
      <c r="H57" s="8" t="s">
        <v>37</v>
      </c>
      <c r="I57" s="9"/>
    </row>
    <row r="58" customFormat="false" ht="15" hidden="false" customHeight="false" outlineLevel="0" collapsed="false">
      <c r="A58" s="6" t="s">
        <v>206</v>
      </c>
      <c r="B58" s="6" t="s">
        <v>187</v>
      </c>
      <c r="C58" s="6" t="s">
        <v>203</v>
      </c>
      <c r="D58" s="6" t="s">
        <v>204</v>
      </c>
      <c r="E58" s="6" t="s">
        <v>207</v>
      </c>
      <c r="F58" s="7" t="n">
        <v>931</v>
      </c>
      <c r="G58" s="6" t="n">
        <f aca="false">COUNTIF(Faults!$K$2:$K$37,A58)+COUNTIF(Faults!$M$2:$M$37,A58)</f>
        <v>1</v>
      </c>
      <c r="H58" s="8" t="s">
        <v>208</v>
      </c>
      <c r="I58" s="9"/>
    </row>
    <row r="59" customFormat="false" ht="15" hidden="false" customHeight="false" outlineLevel="0" collapsed="false">
      <c r="A59" s="6" t="s">
        <v>209</v>
      </c>
      <c r="B59" s="6" t="s">
        <v>187</v>
      </c>
      <c r="C59" s="6" t="s">
        <v>203</v>
      </c>
      <c r="D59" s="6" t="s">
        <v>204</v>
      </c>
      <c r="E59" s="6" t="s">
        <v>210</v>
      </c>
      <c r="F59" s="7" t="n">
        <v>145</v>
      </c>
      <c r="G59" s="6" t="n">
        <f aca="false">COUNTIF(Faults!$K$2:$K$37,A59)+COUNTIF(Faults!$M$2:$M$37,A59)</f>
        <v>0</v>
      </c>
      <c r="H59" s="8" t="s">
        <v>37</v>
      </c>
      <c r="I59" s="9"/>
    </row>
    <row r="60" customFormat="false" ht="15" hidden="false" customHeight="false" outlineLevel="0" collapsed="false">
      <c r="A60" s="6" t="s">
        <v>211</v>
      </c>
      <c r="B60" s="6" t="s">
        <v>187</v>
      </c>
      <c r="C60" s="6" t="s">
        <v>203</v>
      </c>
      <c r="D60" s="6" t="s">
        <v>204</v>
      </c>
      <c r="E60" s="6" t="s">
        <v>212</v>
      </c>
      <c r="F60" s="7" t="n">
        <v>306</v>
      </c>
      <c r="G60" s="6" t="n">
        <f aca="false">COUNTIF(Faults!$K$2:$K$37,A60)+COUNTIF(Faults!$M$2:$M$37,A60)</f>
        <v>1</v>
      </c>
      <c r="H60" s="8" t="s">
        <v>213</v>
      </c>
      <c r="I60" s="9"/>
    </row>
    <row r="61" customFormat="false" ht="15" hidden="false" customHeight="false" outlineLevel="0" collapsed="false">
      <c r="A61" s="6" t="s">
        <v>214</v>
      </c>
      <c r="B61" s="6" t="s">
        <v>187</v>
      </c>
      <c r="C61" s="6" t="s">
        <v>203</v>
      </c>
      <c r="D61" s="6" t="s">
        <v>204</v>
      </c>
      <c r="E61" s="6" t="s">
        <v>215</v>
      </c>
      <c r="F61" s="7" t="n">
        <v>828</v>
      </c>
      <c r="G61" s="6" t="n">
        <f aca="false">COUNTIF(Faults!$K$2:$K$37,A61)+COUNTIF(Faults!$M$2:$M$37,A61)</f>
        <v>0</v>
      </c>
      <c r="H61" s="8" t="s">
        <v>37</v>
      </c>
      <c r="I61" s="9"/>
    </row>
    <row r="62" customFormat="false" ht="15" hidden="false" customHeight="false" outlineLevel="0" collapsed="false">
      <c r="A62" s="10" t="s">
        <v>216</v>
      </c>
      <c r="B62" s="10" t="s">
        <v>30</v>
      </c>
      <c r="C62" s="10" t="s">
        <v>217</v>
      </c>
      <c r="D62" s="10" t="s">
        <v>218</v>
      </c>
      <c r="E62" s="10" t="s">
        <v>219</v>
      </c>
      <c r="F62" s="11" t="n">
        <v>106</v>
      </c>
      <c r="G62" s="10" t="n">
        <f aca="false">COUNTIF(Faults!$K$2:$K$37,A62)+COUNTIF(Faults!$M$2:$M$37,A62)</f>
        <v>1</v>
      </c>
      <c r="H62" s="12" t="s">
        <v>74</v>
      </c>
      <c r="I62" s="13" t="s">
        <v>220</v>
      </c>
    </row>
    <row r="63" customFormat="false" ht="15" hidden="false" customHeight="false" outlineLevel="0" collapsed="false">
      <c r="A63" s="10" t="s">
        <v>221</v>
      </c>
      <c r="B63" s="10" t="s">
        <v>64</v>
      </c>
      <c r="C63" s="10" t="s">
        <v>217</v>
      </c>
      <c r="D63" s="10" t="s">
        <v>218</v>
      </c>
      <c r="E63" s="10" t="s">
        <v>222</v>
      </c>
      <c r="F63" s="11" t="n">
        <v>524</v>
      </c>
      <c r="G63" s="10" t="n">
        <f aca="false">COUNTIF(Faults!$K$2:$K$37,A63)+COUNTIF(Faults!$M$2:$M$37,A63)</f>
        <v>1</v>
      </c>
      <c r="H63" s="12" t="s">
        <v>111</v>
      </c>
      <c r="I63" s="13" t="s">
        <v>220</v>
      </c>
    </row>
    <row r="64" customFormat="false" ht="15" hidden="false" customHeight="false" outlineLevel="0" collapsed="false">
      <c r="A64" s="10" t="s">
        <v>223</v>
      </c>
      <c r="B64" s="10" t="s">
        <v>97</v>
      </c>
      <c r="C64" s="10" t="s">
        <v>217</v>
      </c>
      <c r="D64" s="10" t="s">
        <v>218</v>
      </c>
      <c r="E64" s="10" t="s">
        <v>224</v>
      </c>
      <c r="F64" s="11" t="n">
        <v>157</v>
      </c>
      <c r="G64" s="10" t="n">
        <f aca="false">COUNTIF(Faults!$K$2:$K$37,A64)+COUNTIF(Faults!$M$2:$M$37,A64)</f>
        <v>1</v>
      </c>
      <c r="H64" s="12" t="s">
        <v>201</v>
      </c>
      <c r="I64" s="13" t="s">
        <v>220</v>
      </c>
    </row>
    <row r="65" customFormat="false" ht="15" hidden="false" customHeight="false" outlineLevel="0" collapsed="false">
      <c r="A65" s="10" t="s">
        <v>225</v>
      </c>
      <c r="B65" s="10" t="s">
        <v>127</v>
      </c>
      <c r="C65" s="10" t="s">
        <v>217</v>
      </c>
      <c r="D65" s="10" t="s">
        <v>218</v>
      </c>
      <c r="E65" s="10" t="s">
        <v>226</v>
      </c>
      <c r="F65" s="11" t="n">
        <v>490</v>
      </c>
      <c r="G65" s="10" t="n">
        <f aca="false">COUNTIF(Faults!$K$2:$K$37,A65)+COUNTIF(Faults!$M$2:$M$37,A65)</f>
        <v>1</v>
      </c>
      <c r="H65" s="12" t="s">
        <v>56</v>
      </c>
      <c r="I65" s="13" t="s">
        <v>220</v>
      </c>
    </row>
    <row r="66" customFormat="false" ht="15" hidden="false" customHeight="false" outlineLevel="0" collapsed="false">
      <c r="A66" s="10" t="s">
        <v>227</v>
      </c>
      <c r="B66" s="10" t="s">
        <v>156</v>
      </c>
      <c r="C66" s="10" t="s">
        <v>217</v>
      </c>
      <c r="D66" s="10" t="s">
        <v>218</v>
      </c>
      <c r="E66" s="10" t="s">
        <v>228</v>
      </c>
      <c r="F66" s="11" t="n">
        <v>606</v>
      </c>
      <c r="G66" s="10" t="n">
        <f aca="false">COUNTIF(Faults!$K$2:$K$37,A66)+COUNTIF(Faults!$M$2:$M$37,A66)</f>
        <v>1</v>
      </c>
      <c r="H66" s="12" t="s">
        <v>213</v>
      </c>
      <c r="I66" s="13" t="s">
        <v>220</v>
      </c>
    </row>
    <row r="67" customFormat="false" ht="15" hidden="false" customHeight="false" outlineLevel="0" collapsed="false">
      <c r="A67" s="10" t="s">
        <v>229</v>
      </c>
      <c r="B67" s="10" t="s">
        <v>187</v>
      </c>
      <c r="C67" s="10" t="s">
        <v>217</v>
      </c>
      <c r="D67" s="10" t="s">
        <v>218</v>
      </c>
      <c r="E67" s="10" t="s">
        <v>230</v>
      </c>
      <c r="F67" s="11" t="n">
        <v>243</v>
      </c>
      <c r="G67" s="10" t="n">
        <f aca="false">COUNTIF(Faults!$K$2:$K$37,A67)+COUNTIF(Faults!$M$2:$M$37,A67)</f>
        <v>1</v>
      </c>
      <c r="H67" s="12" t="s">
        <v>183</v>
      </c>
      <c r="I67" s="13" t="s">
        <v>220</v>
      </c>
    </row>
  </sheetData>
  <autoFilter ref="A1:I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5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22"/>
    <col collapsed="false" customWidth="true" hidden="false" outlineLevel="0" max="16" min="16" style="0" width="9"/>
    <col collapsed="false" customWidth="true" hidden="false" outlineLevel="0" max="17" min="17" style="0" width="46"/>
  </cols>
  <sheetData>
    <row r="1" customFormat="false" ht="35.05" hidden="false" customHeight="false" outlineLevel="0" collapsed="false">
      <c r="A1" s="5" t="s">
        <v>231</v>
      </c>
      <c r="B1" s="5" t="s">
        <v>232</v>
      </c>
      <c r="C1" s="5" t="s">
        <v>233</v>
      </c>
      <c r="D1" s="5" t="s">
        <v>234</v>
      </c>
      <c r="E1" s="5" t="s">
        <v>235</v>
      </c>
      <c r="F1" s="5" t="s">
        <v>236</v>
      </c>
      <c r="G1" s="5" t="s">
        <v>237</v>
      </c>
      <c r="H1" s="5" t="s">
        <v>238</v>
      </c>
      <c r="I1" s="5" t="s">
        <v>239</v>
      </c>
      <c r="J1" s="5" t="s">
        <v>240</v>
      </c>
      <c r="K1" s="5" t="s">
        <v>241</v>
      </c>
      <c r="L1" s="5" t="s">
        <v>242</v>
      </c>
      <c r="M1" s="5" t="s">
        <v>243</v>
      </c>
      <c r="N1" s="5" t="s">
        <v>244</v>
      </c>
      <c r="O1" s="5" t="s">
        <v>245</v>
      </c>
      <c r="P1" s="5" t="s">
        <v>246</v>
      </c>
      <c r="Q1" s="5" t="s">
        <v>247</v>
      </c>
    </row>
    <row r="2" customFormat="false" ht="23.85" hidden="false" customHeight="false" outlineLevel="0" collapsed="false">
      <c r="A2" s="14" t="s">
        <v>34</v>
      </c>
      <c r="B2" s="14" t="s">
        <v>248</v>
      </c>
      <c r="C2" s="14" t="s">
        <v>30</v>
      </c>
      <c r="D2" s="14" t="s">
        <v>249</v>
      </c>
      <c r="E2" s="15" t="s">
        <v>250</v>
      </c>
      <c r="F2" s="14" t="n">
        <v>1</v>
      </c>
      <c r="G2" s="14" t="n">
        <v>0</v>
      </c>
      <c r="H2" s="14" t="n">
        <v>1</v>
      </c>
      <c r="I2" s="14" t="s">
        <v>251</v>
      </c>
      <c r="J2" s="14" t="s">
        <v>252</v>
      </c>
      <c r="K2" s="14" t="s">
        <v>29</v>
      </c>
      <c r="L2" s="16" t="n">
        <f aca="false">INDEX(SpecTables!$F:$F,MATCH(K2,SpecTables!$A:$A,0))</f>
        <v>577</v>
      </c>
      <c r="M2" s="17" t="s">
        <v>253</v>
      </c>
      <c r="N2" s="17" t="s">
        <v>253</v>
      </c>
      <c r="O2" s="18" t="str">
        <f aca="false">J2&amp;"-"&amp;TEXT(L2,"000")</f>
        <v>P-01-577</v>
      </c>
      <c r="P2" s="17" t="s">
        <v>253</v>
      </c>
      <c r="Q2" s="15" t="s">
        <v>254</v>
      </c>
    </row>
    <row r="3" customFormat="false" ht="23.85" hidden="false" customHeight="false" outlineLevel="0" collapsed="false">
      <c r="A3" s="14" t="s">
        <v>68</v>
      </c>
      <c r="B3" s="14" t="s">
        <v>248</v>
      </c>
      <c r="C3" s="14" t="s">
        <v>64</v>
      </c>
      <c r="D3" s="14" t="s">
        <v>255</v>
      </c>
      <c r="E3" s="15" t="s">
        <v>256</v>
      </c>
      <c r="F3" s="14" t="n">
        <v>1</v>
      </c>
      <c r="G3" s="14" t="n">
        <v>0</v>
      </c>
      <c r="H3" s="14" t="n">
        <v>1</v>
      </c>
      <c r="I3" s="14" t="s">
        <v>251</v>
      </c>
      <c r="J3" s="14" t="s">
        <v>252</v>
      </c>
      <c r="K3" s="14" t="s">
        <v>63</v>
      </c>
      <c r="L3" s="16" t="n">
        <f aca="false">INDEX(SpecTables!$F:$F,MATCH(K3,SpecTables!$A:$A,0))</f>
        <v>617</v>
      </c>
      <c r="M3" s="17" t="s">
        <v>253</v>
      </c>
      <c r="N3" s="17" t="s">
        <v>253</v>
      </c>
      <c r="O3" s="18" t="str">
        <f aca="false">J3&amp;"-"&amp;TEXT(L3,"000")</f>
        <v>P-01-617</v>
      </c>
      <c r="P3" s="17" t="s">
        <v>253</v>
      </c>
      <c r="Q3" s="15" t="s">
        <v>254</v>
      </c>
    </row>
    <row r="4" customFormat="false" ht="23.85" hidden="false" customHeight="false" outlineLevel="0" collapsed="false">
      <c r="A4" s="14" t="s">
        <v>101</v>
      </c>
      <c r="B4" s="14" t="s">
        <v>248</v>
      </c>
      <c r="C4" s="14" t="s">
        <v>97</v>
      </c>
      <c r="D4" s="14" t="s">
        <v>257</v>
      </c>
      <c r="E4" s="15" t="s">
        <v>258</v>
      </c>
      <c r="F4" s="14" t="n">
        <v>1</v>
      </c>
      <c r="G4" s="14" t="n">
        <v>0</v>
      </c>
      <c r="H4" s="14" t="n">
        <v>1</v>
      </c>
      <c r="I4" s="14" t="s">
        <v>259</v>
      </c>
      <c r="J4" s="14" t="s">
        <v>252</v>
      </c>
      <c r="K4" s="14" t="s">
        <v>96</v>
      </c>
      <c r="L4" s="16" t="n">
        <f aca="false">INDEX(SpecTables!$F:$F,MATCH(K4,SpecTables!$A:$A,0))</f>
        <v>848</v>
      </c>
      <c r="M4" s="17" t="s">
        <v>253</v>
      </c>
      <c r="N4" s="17" t="s">
        <v>253</v>
      </c>
      <c r="O4" s="18" t="str">
        <f aca="false">J4&amp;"-"&amp;TEXT(L4,"000")</f>
        <v>P-01-848</v>
      </c>
      <c r="P4" s="17" t="s">
        <v>253</v>
      </c>
      <c r="Q4" s="15" t="s">
        <v>254</v>
      </c>
    </row>
    <row r="5" customFormat="false" ht="23.85" hidden="false" customHeight="false" outlineLevel="0" collapsed="false">
      <c r="A5" s="14" t="s">
        <v>131</v>
      </c>
      <c r="B5" s="14" t="s">
        <v>248</v>
      </c>
      <c r="C5" s="14" t="s">
        <v>127</v>
      </c>
      <c r="D5" s="14" t="s">
        <v>260</v>
      </c>
      <c r="E5" s="15" t="s">
        <v>261</v>
      </c>
      <c r="F5" s="14" t="n">
        <v>1</v>
      </c>
      <c r="G5" s="14" t="n">
        <v>0</v>
      </c>
      <c r="H5" s="14" t="n">
        <v>1</v>
      </c>
      <c r="I5" s="14" t="s">
        <v>251</v>
      </c>
      <c r="J5" s="14" t="s">
        <v>252</v>
      </c>
      <c r="K5" s="14" t="s">
        <v>126</v>
      </c>
      <c r="L5" s="16" t="n">
        <f aca="false">INDEX(SpecTables!$F:$F,MATCH(K5,SpecTables!$A:$A,0))</f>
        <v>153</v>
      </c>
      <c r="M5" s="17" t="s">
        <v>253</v>
      </c>
      <c r="N5" s="17" t="s">
        <v>253</v>
      </c>
      <c r="O5" s="18" t="str">
        <f aca="false">J5&amp;"-"&amp;TEXT(L5,"000")</f>
        <v>P-01-153</v>
      </c>
      <c r="P5" s="17" t="s">
        <v>253</v>
      </c>
      <c r="Q5" s="15" t="s">
        <v>254</v>
      </c>
    </row>
    <row r="6" customFormat="false" ht="23.85" hidden="false" customHeight="false" outlineLevel="0" collapsed="false">
      <c r="A6" s="14" t="s">
        <v>160</v>
      </c>
      <c r="B6" s="14" t="s">
        <v>248</v>
      </c>
      <c r="C6" s="14" t="s">
        <v>156</v>
      </c>
      <c r="D6" s="14" t="s">
        <v>262</v>
      </c>
      <c r="E6" s="15" t="s">
        <v>263</v>
      </c>
      <c r="F6" s="14" t="n">
        <v>1</v>
      </c>
      <c r="G6" s="14" t="n">
        <v>0</v>
      </c>
      <c r="H6" s="14" t="n">
        <v>1</v>
      </c>
      <c r="I6" s="14" t="s">
        <v>264</v>
      </c>
      <c r="J6" s="14" t="s">
        <v>252</v>
      </c>
      <c r="K6" s="14" t="s">
        <v>155</v>
      </c>
      <c r="L6" s="16" t="n">
        <f aca="false">INDEX(SpecTables!$F:$F,MATCH(K6,SpecTables!$A:$A,0))</f>
        <v>867</v>
      </c>
      <c r="M6" s="17" t="s">
        <v>253</v>
      </c>
      <c r="N6" s="17" t="s">
        <v>253</v>
      </c>
      <c r="O6" s="18" t="str">
        <f aca="false">J6&amp;"-"&amp;TEXT(L6,"000")</f>
        <v>P-01-867</v>
      </c>
      <c r="P6" s="17" t="s">
        <v>253</v>
      </c>
      <c r="Q6" s="15" t="s">
        <v>254</v>
      </c>
    </row>
    <row r="7" customFormat="false" ht="23.85" hidden="false" customHeight="false" outlineLevel="0" collapsed="false">
      <c r="A7" s="14" t="s">
        <v>191</v>
      </c>
      <c r="B7" s="14" t="s">
        <v>248</v>
      </c>
      <c r="C7" s="14" t="s">
        <v>187</v>
      </c>
      <c r="D7" s="14" t="s">
        <v>265</v>
      </c>
      <c r="E7" s="15" t="s">
        <v>266</v>
      </c>
      <c r="F7" s="14" t="n">
        <v>1</v>
      </c>
      <c r="G7" s="14" t="n">
        <v>0</v>
      </c>
      <c r="H7" s="14" t="n">
        <v>1</v>
      </c>
      <c r="I7" s="14" t="s">
        <v>267</v>
      </c>
      <c r="J7" s="14" t="s">
        <v>252</v>
      </c>
      <c r="K7" s="14" t="s">
        <v>186</v>
      </c>
      <c r="L7" s="16" t="n">
        <f aca="false">INDEX(SpecTables!$F:$F,MATCH(K7,SpecTables!$A:$A,0))</f>
        <v>894</v>
      </c>
      <c r="M7" s="17" t="s">
        <v>253</v>
      </c>
      <c r="N7" s="17" t="s">
        <v>253</v>
      </c>
      <c r="O7" s="18" t="str">
        <f aca="false">J7&amp;"-"&amp;TEXT(L7,"000")</f>
        <v>P-01-894</v>
      </c>
      <c r="P7" s="17" t="s">
        <v>253</v>
      </c>
      <c r="Q7" s="15" t="s">
        <v>254</v>
      </c>
    </row>
    <row r="8" customFormat="false" ht="23.85" hidden="false" customHeight="false" outlineLevel="0" collapsed="false">
      <c r="A8" s="19" t="s">
        <v>53</v>
      </c>
      <c r="B8" s="19" t="s">
        <v>268</v>
      </c>
      <c r="C8" s="19" t="s">
        <v>30</v>
      </c>
      <c r="D8" s="19" t="s">
        <v>269</v>
      </c>
      <c r="E8" s="20" t="s">
        <v>270</v>
      </c>
      <c r="F8" s="19" t="n">
        <v>1</v>
      </c>
      <c r="G8" s="19" t="n">
        <v>0.8</v>
      </c>
      <c r="H8" s="19" t="n">
        <v>1</v>
      </c>
      <c r="I8" s="19" t="s">
        <v>271</v>
      </c>
      <c r="J8" s="19" t="s">
        <v>272</v>
      </c>
      <c r="K8" s="19" t="s">
        <v>51</v>
      </c>
      <c r="L8" s="21" t="n">
        <f aca="false">INDEX(SpecTables!$F:$F,MATCH(K8,SpecTables!$A:$A,0))</f>
        <v>990</v>
      </c>
      <c r="M8" s="22" t="s">
        <v>253</v>
      </c>
      <c r="N8" s="22" t="s">
        <v>253</v>
      </c>
      <c r="O8" s="23" t="str">
        <f aca="false">J8&amp;"-"&amp;TEXT(L8,"000")</f>
        <v>P-02-990</v>
      </c>
      <c r="P8" s="22" t="s">
        <v>253</v>
      </c>
      <c r="Q8" s="20"/>
    </row>
    <row r="9" customFormat="false" ht="23.85" hidden="false" customHeight="false" outlineLevel="0" collapsed="false">
      <c r="A9" s="19" t="s">
        <v>40</v>
      </c>
      <c r="B9" s="19" t="s">
        <v>268</v>
      </c>
      <c r="C9" s="19" t="s">
        <v>30</v>
      </c>
      <c r="D9" s="19" t="s">
        <v>273</v>
      </c>
      <c r="E9" s="20" t="s">
        <v>274</v>
      </c>
      <c r="F9" s="19" t="n">
        <v>1</v>
      </c>
      <c r="G9" s="19" t="n">
        <v>0.5</v>
      </c>
      <c r="H9" s="19" t="n">
        <v>2</v>
      </c>
      <c r="I9" s="19" t="s">
        <v>251</v>
      </c>
      <c r="J9" s="19" t="s">
        <v>275</v>
      </c>
      <c r="K9" s="19" t="s">
        <v>38</v>
      </c>
      <c r="L9" s="21" t="n">
        <f aca="false">INDEX(SpecTables!$F:$F,MATCH(K9,SpecTables!$A:$A,0))</f>
        <v>485</v>
      </c>
      <c r="M9" s="22" t="s">
        <v>253</v>
      </c>
      <c r="N9" s="22" t="s">
        <v>253</v>
      </c>
      <c r="O9" s="23" t="str">
        <f aca="false">J9&amp;"-"&amp;TEXT(L9,"000")</f>
        <v>P-03-485</v>
      </c>
      <c r="P9" s="22" t="s">
        <v>253</v>
      </c>
      <c r="Q9" s="20"/>
    </row>
    <row r="10" customFormat="false" ht="23.85" hidden="false" customHeight="false" outlineLevel="0" collapsed="false">
      <c r="A10" s="19" t="s">
        <v>71</v>
      </c>
      <c r="B10" s="19" t="s">
        <v>268</v>
      </c>
      <c r="C10" s="19" t="s">
        <v>64</v>
      </c>
      <c r="D10" s="19" t="s">
        <v>276</v>
      </c>
      <c r="E10" s="20" t="s">
        <v>277</v>
      </c>
      <c r="F10" s="19" t="n">
        <v>1</v>
      </c>
      <c r="G10" s="19" t="n">
        <v>0.8</v>
      </c>
      <c r="H10" s="19" t="n">
        <v>1</v>
      </c>
      <c r="I10" s="19" t="s">
        <v>267</v>
      </c>
      <c r="J10" s="19" t="s">
        <v>272</v>
      </c>
      <c r="K10" s="19" t="s">
        <v>69</v>
      </c>
      <c r="L10" s="21" t="n">
        <f aca="false">INDEX(SpecTables!$F:$F,MATCH(K10,SpecTables!$A:$A,0))</f>
        <v>999</v>
      </c>
      <c r="M10" s="22" t="s">
        <v>253</v>
      </c>
      <c r="N10" s="22" t="s">
        <v>253</v>
      </c>
      <c r="O10" s="23" t="str">
        <f aca="false">J10&amp;"-"&amp;TEXT(L10,"000")</f>
        <v>P-02-999</v>
      </c>
      <c r="P10" s="22" t="s">
        <v>253</v>
      </c>
      <c r="Q10" s="20"/>
    </row>
    <row r="11" customFormat="false" ht="23.85" hidden="false" customHeight="false" outlineLevel="0" collapsed="false">
      <c r="A11" s="19" t="s">
        <v>77</v>
      </c>
      <c r="B11" s="19" t="s">
        <v>268</v>
      </c>
      <c r="C11" s="19" t="s">
        <v>64</v>
      </c>
      <c r="D11" s="19" t="s">
        <v>278</v>
      </c>
      <c r="E11" s="20" t="s">
        <v>279</v>
      </c>
      <c r="F11" s="19" t="n">
        <v>1</v>
      </c>
      <c r="G11" s="19" t="n">
        <v>0.5</v>
      </c>
      <c r="H11" s="19" t="n">
        <v>2</v>
      </c>
      <c r="I11" s="19" t="s">
        <v>280</v>
      </c>
      <c r="J11" s="19" t="s">
        <v>275</v>
      </c>
      <c r="K11" s="19" t="s">
        <v>75</v>
      </c>
      <c r="L11" s="21" t="n">
        <f aca="false">INDEX(SpecTables!$F:$F,MATCH(K11,SpecTables!$A:$A,0))</f>
        <v>183</v>
      </c>
      <c r="M11" s="22" t="s">
        <v>253</v>
      </c>
      <c r="N11" s="22" t="s">
        <v>253</v>
      </c>
      <c r="O11" s="23" t="str">
        <f aca="false">J11&amp;"-"&amp;TEXT(L11,"000")</f>
        <v>P-03-183</v>
      </c>
      <c r="P11" s="22" t="s">
        <v>253</v>
      </c>
      <c r="Q11" s="20"/>
    </row>
    <row r="12" customFormat="false" ht="23.85" hidden="false" customHeight="false" outlineLevel="0" collapsed="false">
      <c r="A12" s="19" t="s">
        <v>118</v>
      </c>
      <c r="B12" s="19" t="s">
        <v>268</v>
      </c>
      <c r="C12" s="19" t="s">
        <v>97</v>
      </c>
      <c r="D12" s="19" t="s">
        <v>281</v>
      </c>
      <c r="E12" s="20" t="s">
        <v>282</v>
      </c>
      <c r="F12" s="19" t="n">
        <v>1</v>
      </c>
      <c r="G12" s="19" t="n">
        <v>1</v>
      </c>
      <c r="H12" s="19" t="n">
        <v>1</v>
      </c>
      <c r="I12" s="19" t="s">
        <v>283</v>
      </c>
      <c r="J12" s="19" t="s">
        <v>272</v>
      </c>
      <c r="K12" s="19" t="s">
        <v>116</v>
      </c>
      <c r="L12" s="21" t="n">
        <f aca="false">INDEX(SpecTables!$F:$F,MATCH(K12,SpecTables!$A:$A,0))</f>
        <v>535</v>
      </c>
      <c r="M12" s="22" t="s">
        <v>253</v>
      </c>
      <c r="N12" s="22" t="s">
        <v>253</v>
      </c>
      <c r="O12" s="23" t="str">
        <f aca="false">J12&amp;"-"&amp;TEXT(L12,"000")</f>
        <v>P-02-535</v>
      </c>
      <c r="P12" s="22" t="s">
        <v>253</v>
      </c>
      <c r="Q12" s="20"/>
    </row>
    <row r="13" customFormat="false" ht="23.85" hidden="false" customHeight="false" outlineLevel="0" collapsed="false">
      <c r="A13" s="19" t="s">
        <v>134</v>
      </c>
      <c r="B13" s="19" t="s">
        <v>268</v>
      </c>
      <c r="C13" s="19" t="s">
        <v>127</v>
      </c>
      <c r="D13" s="19" t="s">
        <v>284</v>
      </c>
      <c r="E13" s="20" t="s">
        <v>285</v>
      </c>
      <c r="F13" s="19" t="n">
        <v>1</v>
      </c>
      <c r="G13" s="19" t="n">
        <v>0.5</v>
      </c>
      <c r="H13" s="19" t="n">
        <v>1</v>
      </c>
      <c r="I13" s="19" t="s">
        <v>251</v>
      </c>
      <c r="J13" s="19" t="s">
        <v>272</v>
      </c>
      <c r="K13" s="19" t="s">
        <v>132</v>
      </c>
      <c r="L13" s="21" t="n">
        <f aca="false">INDEX(SpecTables!$F:$F,MATCH(K13,SpecTables!$A:$A,0))</f>
        <v>214</v>
      </c>
      <c r="M13" s="22" t="s">
        <v>253</v>
      </c>
      <c r="N13" s="22" t="s">
        <v>253</v>
      </c>
      <c r="O13" s="23" t="str">
        <f aca="false">J13&amp;"-"&amp;TEXT(L13,"000")</f>
        <v>P-02-214</v>
      </c>
      <c r="P13" s="22" t="s">
        <v>253</v>
      </c>
      <c r="Q13" s="20"/>
    </row>
    <row r="14" customFormat="false" ht="23.85" hidden="false" customHeight="false" outlineLevel="0" collapsed="false">
      <c r="A14" s="19" t="s">
        <v>163</v>
      </c>
      <c r="B14" s="19" t="s">
        <v>268</v>
      </c>
      <c r="C14" s="19" t="s">
        <v>156</v>
      </c>
      <c r="D14" s="19" t="s">
        <v>286</v>
      </c>
      <c r="E14" s="20" t="s">
        <v>287</v>
      </c>
      <c r="F14" s="19" t="n">
        <v>1</v>
      </c>
      <c r="G14" s="19" t="n">
        <v>0.8</v>
      </c>
      <c r="H14" s="19" t="n">
        <v>1</v>
      </c>
      <c r="I14" s="19" t="s">
        <v>264</v>
      </c>
      <c r="J14" s="19" t="s">
        <v>272</v>
      </c>
      <c r="K14" s="19" t="s">
        <v>161</v>
      </c>
      <c r="L14" s="21" t="n">
        <f aca="false">INDEX(SpecTables!$F:$F,MATCH(K14,SpecTables!$A:$A,0))</f>
        <v>205</v>
      </c>
      <c r="M14" s="22" t="s">
        <v>253</v>
      </c>
      <c r="N14" s="22" t="s">
        <v>253</v>
      </c>
      <c r="O14" s="23" t="str">
        <f aca="false">J14&amp;"-"&amp;TEXT(L14,"000")</f>
        <v>P-02-205</v>
      </c>
      <c r="P14" s="22" t="s">
        <v>253</v>
      </c>
      <c r="Q14" s="20"/>
    </row>
    <row r="15" customFormat="false" ht="23.85" hidden="false" customHeight="false" outlineLevel="0" collapsed="false">
      <c r="A15" s="19" t="s">
        <v>194</v>
      </c>
      <c r="B15" s="19" t="s">
        <v>268</v>
      </c>
      <c r="C15" s="19" t="s">
        <v>187</v>
      </c>
      <c r="D15" s="19" t="s">
        <v>288</v>
      </c>
      <c r="E15" s="20" t="s">
        <v>289</v>
      </c>
      <c r="F15" s="19" t="n">
        <v>1</v>
      </c>
      <c r="G15" s="19" t="n">
        <v>0.5</v>
      </c>
      <c r="H15" s="19" t="n">
        <v>1</v>
      </c>
      <c r="I15" s="19" t="s">
        <v>267</v>
      </c>
      <c r="J15" s="19" t="s">
        <v>272</v>
      </c>
      <c r="K15" s="19" t="s">
        <v>192</v>
      </c>
      <c r="L15" s="21" t="n">
        <f aca="false">INDEX(SpecTables!$F:$F,MATCH(K15,SpecTables!$A:$A,0))</f>
        <v>996</v>
      </c>
      <c r="M15" s="22" t="s">
        <v>253</v>
      </c>
      <c r="N15" s="22" t="s">
        <v>253</v>
      </c>
      <c r="O15" s="23" t="str">
        <f aca="false">J15&amp;"-"&amp;TEXT(L15,"000")</f>
        <v>P-02-996</v>
      </c>
      <c r="P15" s="22" t="s">
        <v>253</v>
      </c>
      <c r="Q15" s="20"/>
    </row>
    <row r="16" customFormat="false" ht="23.85" hidden="false" customHeight="false" outlineLevel="0" collapsed="false">
      <c r="A16" s="24" t="s">
        <v>89</v>
      </c>
      <c r="B16" s="24" t="s">
        <v>290</v>
      </c>
      <c r="C16" s="24" t="s">
        <v>30</v>
      </c>
      <c r="D16" s="24" t="s">
        <v>291</v>
      </c>
      <c r="E16" s="13" t="s">
        <v>292</v>
      </c>
      <c r="F16" s="24" t="n">
        <v>2</v>
      </c>
      <c r="G16" s="24" t="n">
        <v>1.5</v>
      </c>
      <c r="H16" s="24" t="n">
        <v>2</v>
      </c>
      <c r="I16" s="24" t="s">
        <v>293</v>
      </c>
      <c r="J16" s="24" t="s">
        <v>294</v>
      </c>
      <c r="K16" s="24" t="s">
        <v>87</v>
      </c>
      <c r="L16" s="25" t="n">
        <f aca="false">INDEX(SpecTables!$F:$F,MATCH(K16,SpecTables!$A:$A,0))</f>
        <v>340</v>
      </c>
      <c r="M16" s="10" t="s">
        <v>253</v>
      </c>
      <c r="N16" s="10" t="s">
        <v>253</v>
      </c>
      <c r="O16" s="26" t="str">
        <f aca="false">J16&amp;"-"&amp;TEXT(L16,"000")</f>
        <v>P-04-340</v>
      </c>
      <c r="P16" s="10" t="s">
        <v>253</v>
      </c>
      <c r="Q16" s="13" t="s">
        <v>295</v>
      </c>
    </row>
    <row r="17" customFormat="false" ht="23.85" hidden="false" customHeight="false" outlineLevel="0" collapsed="false">
      <c r="A17" s="27" t="s">
        <v>80</v>
      </c>
      <c r="B17" s="27" t="s">
        <v>290</v>
      </c>
      <c r="C17" s="27" t="s">
        <v>30</v>
      </c>
      <c r="D17" s="27" t="s">
        <v>296</v>
      </c>
      <c r="E17" s="28" t="s">
        <v>297</v>
      </c>
      <c r="F17" s="27" t="n">
        <v>2</v>
      </c>
      <c r="G17" s="27" t="n">
        <v>1</v>
      </c>
      <c r="H17" s="27" t="n">
        <v>2</v>
      </c>
      <c r="I17" s="27" t="s">
        <v>271</v>
      </c>
      <c r="J17" s="27" t="s">
        <v>298</v>
      </c>
      <c r="K17" s="27" t="s">
        <v>78</v>
      </c>
      <c r="L17" s="29" t="n">
        <f aca="false">INDEX(SpecTables!$F:$F,MATCH(K17,SpecTables!$A:$A,0))</f>
        <v>445</v>
      </c>
      <c r="M17" s="30" t="s">
        <v>253</v>
      </c>
      <c r="N17" s="30" t="s">
        <v>253</v>
      </c>
      <c r="O17" s="31" t="str">
        <f aca="false">J17&amp;"-"&amp;TEXT(L17,"000")</f>
        <v>P-05-445</v>
      </c>
      <c r="P17" s="30" t="s">
        <v>253</v>
      </c>
      <c r="Q17" s="28"/>
    </row>
    <row r="18" customFormat="false" ht="23.85" hidden="false" customHeight="false" outlineLevel="0" collapsed="false">
      <c r="A18" s="27" t="s">
        <v>106</v>
      </c>
      <c r="B18" s="27" t="s">
        <v>290</v>
      </c>
      <c r="C18" s="27" t="s">
        <v>64</v>
      </c>
      <c r="D18" s="27" t="s">
        <v>299</v>
      </c>
      <c r="E18" s="28" t="s">
        <v>300</v>
      </c>
      <c r="F18" s="27" t="n">
        <v>2</v>
      </c>
      <c r="G18" s="27" t="n">
        <v>1.5</v>
      </c>
      <c r="H18" s="27" t="n">
        <v>2</v>
      </c>
      <c r="I18" s="27" t="s">
        <v>301</v>
      </c>
      <c r="J18" s="27" t="s">
        <v>294</v>
      </c>
      <c r="K18" s="27" t="s">
        <v>104</v>
      </c>
      <c r="L18" s="29" t="n">
        <f aca="false">INDEX(SpecTables!$F:$F,MATCH(K18,SpecTables!$A:$A,0))</f>
        <v>274</v>
      </c>
      <c r="M18" s="30" t="s">
        <v>253</v>
      </c>
      <c r="N18" s="30" t="s">
        <v>253</v>
      </c>
      <c r="O18" s="31" t="str">
        <f aca="false">J18&amp;"-"&amp;TEXT(L18,"000")</f>
        <v>P-04-274</v>
      </c>
      <c r="P18" s="30" t="s">
        <v>253</v>
      </c>
      <c r="Q18" s="28"/>
    </row>
    <row r="19" customFormat="false" ht="23.85" hidden="false" customHeight="false" outlineLevel="0" collapsed="false">
      <c r="A19" s="27" t="s">
        <v>123</v>
      </c>
      <c r="B19" s="27" t="s">
        <v>290</v>
      </c>
      <c r="C19" s="27" t="s">
        <v>64</v>
      </c>
      <c r="D19" s="27" t="s">
        <v>302</v>
      </c>
      <c r="E19" s="28" t="s">
        <v>303</v>
      </c>
      <c r="F19" s="27" t="n">
        <v>2</v>
      </c>
      <c r="G19" s="27" t="n">
        <v>1</v>
      </c>
      <c r="H19" s="27" t="n">
        <v>2</v>
      </c>
      <c r="I19" s="27" t="s">
        <v>304</v>
      </c>
      <c r="J19" s="27" t="s">
        <v>298</v>
      </c>
      <c r="K19" s="27" t="s">
        <v>121</v>
      </c>
      <c r="L19" s="29" t="n">
        <f aca="false">INDEX(SpecTables!$F:$F,MATCH(K19,SpecTables!$A:$A,0))</f>
        <v>273</v>
      </c>
      <c r="M19" s="30" t="s">
        <v>253</v>
      </c>
      <c r="N19" s="30" t="s">
        <v>253</v>
      </c>
      <c r="O19" s="31" t="str">
        <f aca="false">J19&amp;"-"&amp;TEXT(L19,"000")</f>
        <v>P-05-273</v>
      </c>
      <c r="P19" s="30" t="s">
        <v>253</v>
      </c>
      <c r="Q19" s="28"/>
    </row>
    <row r="20" customFormat="false" ht="23.85" hidden="false" customHeight="false" outlineLevel="0" collapsed="false">
      <c r="A20" s="27" t="s">
        <v>139</v>
      </c>
      <c r="B20" s="27" t="s">
        <v>290</v>
      </c>
      <c r="C20" s="27" t="s">
        <v>97</v>
      </c>
      <c r="D20" s="27" t="s">
        <v>305</v>
      </c>
      <c r="E20" s="28" t="s">
        <v>306</v>
      </c>
      <c r="F20" s="27" t="n">
        <v>2</v>
      </c>
      <c r="G20" s="27" t="n">
        <v>2</v>
      </c>
      <c r="H20" s="27" t="n">
        <v>2</v>
      </c>
      <c r="I20" s="27" t="s">
        <v>301</v>
      </c>
      <c r="J20" s="27" t="s">
        <v>294</v>
      </c>
      <c r="K20" s="27" t="s">
        <v>137</v>
      </c>
      <c r="L20" s="29" t="n">
        <f aca="false">INDEX(SpecTables!$F:$F,MATCH(K20,SpecTables!$A:$A,0))</f>
        <v>621</v>
      </c>
      <c r="M20" s="30" t="s">
        <v>253</v>
      </c>
      <c r="N20" s="30" t="s">
        <v>253</v>
      </c>
      <c r="O20" s="31" t="str">
        <f aca="false">J20&amp;"-"&amp;TEXT(L20,"000")</f>
        <v>P-04-621</v>
      </c>
      <c r="P20" s="30" t="s">
        <v>253</v>
      </c>
      <c r="Q20" s="28"/>
    </row>
    <row r="21" customFormat="false" ht="23.85" hidden="false" customHeight="false" outlineLevel="0" collapsed="false">
      <c r="A21" s="27" t="s">
        <v>148</v>
      </c>
      <c r="B21" s="27" t="s">
        <v>290</v>
      </c>
      <c r="C21" s="27" t="s">
        <v>97</v>
      </c>
      <c r="D21" s="27" t="s">
        <v>307</v>
      </c>
      <c r="E21" s="28" t="s">
        <v>308</v>
      </c>
      <c r="F21" s="27" t="n">
        <v>2</v>
      </c>
      <c r="G21" s="27" t="n">
        <v>1.5</v>
      </c>
      <c r="H21" s="27" t="n">
        <v>2</v>
      </c>
      <c r="I21" s="27" t="s">
        <v>309</v>
      </c>
      <c r="J21" s="27" t="s">
        <v>298</v>
      </c>
      <c r="K21" s="27" t="s">
        <v>146</v>
      </c>
      <c r="L21" s="29" t="n">
        <f aca="false">INDEX(SpecTables!$F:$F,MATCH(K21,SpecTables!$A:$A,0))</f>
        <v>895</v>
      </c>
      <c r="M21" s="30" t="s">
        <v>253</v>
      </c>
      <c r="N21" s="30" t="s">
        <v>253</v>
      </c>
      <c r="O21" s="31" t="str">
        <f aca="false">J21&amp;"-"&amp;TEXT(L21,"000")</f>
        <v>P-05-895</v>
      </c>
      <c r="P21" s="30" t="s">
        <v>253</v>
      </c>
      <c r="Q21" s="28"/>
    </row>
    <row r="22" customFormat="false" ht="23.85" hidden="false" customHeight="false" outlineLevel="0" collapsed="false">
      <c r="A22" s="27" t="s">
        <v>168</v>
      </c>
      <c r="B22" s="27" t="s">
        <v>290</v>
      </c>
      <c r="C22" s="27" t="s">
        <v>127</v>
      </c>
      <c r="D22" s="27" t="s">
        <v>310</v>
      </c>
      <c r="E22" s="28" t="s">
        <v>311</v>
      </c>
      <c r="F22" s="27" t="n">
        <v>2</v>
      </c>
      <c r="G22" s="27" t="n">
        <v>2</v>
      </c>
      <c r="H22" s="27" t="n">
        <v>3</v>
      </c>
      <c r="I22" s="27" t="s">
        <v>293</v>
      </c>
      <c r="J22" s="27" t="s">
        <v>294</v>
      </c>
      <c r="K22" s="27" t="s">
        <v>166</v>
      </c>
      <c r="L22" s="29" t="n">
        <f aca="false">INDEX(SpecTables!$F:$F,MATCH(K22,SpecTables!$A:$A,0))</f>
        <v>311</v>
      </c>
      <c r="M22" s="30" t="s">
        <v>253</v>
      </c>
      <c r="N22" s="30" t="s">
        <v>253</v>
      </c>
      <c r="O22" s="31" t="str">
        <f aca="false">J22&amp;"-"&amp;TEXT(L22,"000")</f>
        <v>P-04-311</v>
      </c>
      <c r="P22" s="30" t="s">
        <v>253</v>
      </c>
      <c r="Q22" s="28" t="s">
        <v>312</v>
      </c>
    </row>
    <row r="23" customFormat="false" ht="23.85" hidden="false" customHeight="false" outlineLevel="0" collapsed="false">
      <c r="A23" s="27" t="s">
        <v>180</v>
      </c>
      <c r="B23" s="27" t="s">
        <v>290</v>
      </c>
      <c r="C23" s="27" t="s">
        <v>127</v>
      </c>
      <c r="D23" s="27" t="s">
        <v>313</v>
      </c>
      <c r="E23" s="28" t="s">
        <v>314</v>
      </c>
      <c r="F23" s="27" t="n">
        <v>2</v>
      </c>
      <c r="G23" s="27" t="n">
        <v>1</v>
      </c>
      <c r="H23" s="27" t="n">
        <v>2</v>
      </c>
      <c r="I23" s="27" t="s">
        <v>309</v>
      </c>
      <c r="J23" s="27" t="s">
        <v>298</v>
      </c>
      <c r="K23" s="27" t="s">
        <v>178</v>
      </c>
      <c r="L23" s="29" t="n">
        <f aca="false">INDEX(SpecTables!$F:$F,MATCH(K23,SpecTables!$A:$A,0))</f>
        <v>915</v>
      </c>
      <c r="M23" s="30" t="s">
        <v>253</v>
      </c>
      <c r="N23" s="30" t="s">
        <v>253</v>
      </c>
      <c r="O23" s="31" t="str">
        <f aca="false">J23&amp;"-"&amp;TEXT(L23,"000")</f>
        <v>P-05-915</v>
      </c>
      <c r="P23" s="30" t="s">
        <v>253</v>
      </c>
      <c r="Q23" s="28"/>
    </row>
    <row r="24" customFormat="false" ht="23.85" hidden="false" customHeight="false" outlineLevel="0" collapsed="false">
      <c r="A24" s="27" t="s">
        <v>208</v>
      </c>
      <c r="B24" s="27" t="s">
        <v>290</v>
      </c>
      <c r="C24" s="27" t="s">
        <v>156</v>
      </c>
      <c r="D24" s="27" t="s">
        <v>315</v>
      </c>
      <c r="E24" s="28" t="s">
        <v>316</v>
      </c>
      <c r="F24" s="27" t="n">
        <v>2</v>
      </c>
      <c r="G24" s="27" t="n">
        <v>1.5</v>
      </c>
      <c r="H24" s="27" t="n">
        <v>2</v>
      </c>
      <c r="I24" s="27" t="s">
        <v>309</v>
      </c>
      <c r="J24" s="27" t="s">
        <v>294</v>
      </c>
      <c r="K24" s="27" t="s">
        <v>206</v>
      </c>
      <c r="L24" s="29" t="n">
        <f aca="false">INDEX(SpecTables!$F:$F,MATCH(K24,SpecTables!$A:$A,0))</f>
        <v>931</v>
      </c>
      <c r="M24" s="30" t="s">
        <v>253</v>
      </c>
      <c r="N24" s="30" t="s">
        <v>253</v>
      </c>
      <c r="O24" s="31" t="str">
        <f aca="false">J24&amp;"-"&amp;TEXT(L24,"000")</f>
        <v>P-04-931</v>
      </c>
      <c r="P24" s="30" t="s">
        <v>253</v>
      </c>
      <c r="Q24" s="28"/>
    </row>
    <row r="25" customFormat="false" ht="35.05" hidden="false" customHeight="false" outlineLevel="0" collapsed="false">
      <c r="A25" s="24" t="s">
        <v>317</v>
      </c>
      <c r="B25" s="24" t="s">
        <v>290</v>
      </c>
      <c r="C25" s="24" t="s">
        <v>156</v>
      </c>
      <c r="D25" s="24" t="s">
        <v>318</v>
      </c>
      <c r="E25" s="13" t="s">
        <v>319</v>
      </c>
      <c r="F25" s="24" t="n">
        <v>2</v>
      </c>
      <c r="G25" s="24" t="n">
        <v>0</v>
      </c>
      <c r="H25" s="24" t="n">
        <v>0</v>
      </c>
      <c r="I25" s="24" t="s">
        <v>253</v>
      </c>
      <c r="J25" s="24" t="s">
        <v>253</v>
      </c>
      <c r="K25" s="24" t="s">
        <v>253</v>
      </c>
      <c r="L25" s="10" t="s">
        <v>253</v>
      </c>
      <c r="M25" s="10" t="s">
        <v>253</v>
      </c>
      <c r="N25" s="10" t="s">
        <v>253</v>
      </c>
      <c r="O25" s="26" t="s">
        <v>320</v>
      </c>
      <c r="P25" s="10" t="s">
        <v>253</v>
      </c>
      <c r="Q25" s="13" t="s">
        <v>321</v>
      </c>
    </row>
    <row r="26" customFormat="false" ht="23.85" hidden="false" customHeight="false" outlineLevel="0" collapsed="false">
      <c r="A26" s="27" t="s">
        <v>59</v>
      </c>
      <c r="B26" s="27" t="s">
        <v>290</v>
      </c>
      <c r="C26" s="27" t="s">
        <v>187</v>
      </c>
      <c r="D26" s="27" t="s">
        <v>322</v>
      </c>
      <c r="E26" s="28" t="s">
        <v>323</v>
      </c>
      <c r="F26" s="27" t="n">
        <v>2</v>
      </c>
      <c r="G26" s="27" t="n">
        <v>1.5</v>
      </c>
      <c r="H26" s="27" t="n">
        <v>2</v>
      </c>
      <c r="I26" s="27" t="s">
        <v>309</v>
      </c>
      <c r="J26" s="27" t="s">
        <v>294</v>
      </c>
      <c r="K26" s="27" t="s">
        <v>57</v>
      </c>
      <c r="L26" s="29" t="n">
        <f aca="false">INDEX(SpecTables!$F:$F,MATCH(K26,SpecTables!$A:$A,0))</f>
        <v>107</v>
      </c>
      <c r="M26" s="30" t="s">
        <v>253</v>
      </c>
      <c r="N26" s="30" t="s">
        <v>253</v>
      </c>
      <c r="O26" s="31" t="str">
        <f aca="false">J26&amp;"-"&amp;TEXT(L26,"000")</f>
        <v>P-04-107</v>
      </c>
      <c r="P26" s="30" t="s">
        <v>253</v>
      </c>
      <c r="Q26" s="28"/>
    </row>
    <row r="27" customFormat="false" ht="23.85" hidden="false" customHeight="false" outlineLevel="0" collapsed="false">
      <c r="A27" s="27" t="s">
        <v>43</v>
      </c>
      <c r="B27" s="27" t="s">
        <v>290</v>
      </c>
      <c r="C27" s="27" t="s">
        <v>187</v>
      </c>
      <c r="D27" s="27" t="s">
        <v>324</v>
      </c>
      <c r="E27" s="28" t="s">
        <v>325</v>
      </c>
      <c r="F27" s="27" t="n">
        <v>2</v>
      </c>
      <c r="G27" s="27" t="n">
        <v>1</v>
      </c>
      <c r="H27" s="27" t="n">
        <v>2</v>
      </c>
      <c r="I27" s="27" t="s">
        <v>267</v>
      </c>
      <c r="J27" s="27" t="s">
        <v>298</v>
      </c>
      <c r="K27" s="27" t="s">
        <v>41</v>
      </c>
      <c r="L27" s="29" t="n">
        <f aca="false">INDEX(SpecTables!$F:$F,MATCH(K27,SpecTables!$A:$A,0))</f>
        <v>376</v>
      </c>
      <c r="M27" s="30" t="s">
        <v>253</v>
      </c>
      <c r="N27" s="30" t="s">
        <v>253</v>
      </c>
      <c r="O27" s="31" t="str">
        <f aca="false">J27&amp;"-"&amp;TEXT(L27,"000")</f>
        <v>P-05-376</v>
      </c>
      <c r="P27" s="30" t="s">
        <v>253</v>
      </c>
      <c r="Q27" s="28"/>
    </row>
    <row r="28" customFormat="false" ht="23.85" hidden="false" customHeight="false" outlineLevel="0" collapsed="false">
      <c r="A28" s="32" t="s">
        <v>95</v>
      </c>
      <c r="B28" s="32" t="s">
        <v>326</v>
      </c>
      <c r="C28" s="32" t="s">
        <v>30</v>
      </c>
      <c r="D28" s="32" t="s">
        <v>327</v>
      </c>
      <c r="E28" s="33" t="s">
        <v>328</v>
      </c>
      <c r="F28" s="32" t="n">
        <v>3</v>
      </c>
      <c r="G28" s="32" t="n">
        <v>2.5</v>
      </c>
      <c r="H28" s="32" t="n">
        <v>3</v>
      </c>
      <c r="I28" s="32" t="s">
        <v>329</v>
      </c>
      <c r="J28" s="32" t="s">
        <v>330</v>
      </c>
      <c r="K28" s="32" t="s">
        <v>93</v>
      </c>
      <c r="L28" s="34" t="n">
        <f aca="false">INDEX(SpecTables!$F:$F,MATCH(K28,SpecTables!$A:$A,0))</f>
        <v>142</v>
      </c>
      <c r="M28" s="35" t="s">
        <v>119</v>
      </c>
      <c r="N28" s="34" t="n">
        <f aca="false">INDEX(SpecTables!$F:$F,MATCH(M28,SpecTables!$A:$A,0))</f>
        <v>261</v>
      </c>
      <c r="O28" s="36" t="str">
        <f aca="false">J28&amp;"-"&amp;TEXT(L28,"000")&amp;"-"&amp;TEXT(N28,"000")</f>
        <v>P-06-142-261</v>
      </c>
      <c r="P28" s="35" t="s">
        <v>253</v>
      </c>
      <c r="Q28" s="33"/>
    </row>
    <row r="29" customFormat="false" ht="35.05" hidden="false" customHeight="false" outlineLevel="0" collapsed="false">
      <c r="A29" s="32" t="s">
        <v>111</v>
      </c>
      <c r="B29" s="32" t="s">
        <v>326</v>
      </c>
      <c r="C29" s="32" t="s">
        <v>64</v>
      </c>
      <c r="D29" s="32" t="s">
        <v>331</v>
      </c>
      <c r="E29" s="33" t="s">
        <v>332</v>
      </c>
      <c r="F29" s="32" t="n">
        <v>3</v>
      </c>
      <c r="G29" s="32" t="n">
        <v>3</v>
      </c>
      <c r="H29" s="32" t="n">
        <v>3</v>
      </c>
      <c r="I29" s="32" t="s">
        <v>333</v>
      </c>
      <c r="J29" s="32" t="s">
        <v>330</v>
      </c>
      <c r="K29" s="32" t="s">
        <v>109</v>
      </c>
      <c r="L29" s="34" t="n">
        <f aca="false">INDEX(SpecTables!$F:$F,MATCH(K29,SpecTables!$A:$A,0))</f>
        <v>565</v>
      </c>
      <c r="M29" s="35" t="s">
        <v>221</v>
      </c>
      <c r="N29" s="34" t="n">
        <f aca="false">INDEX(SpecTables!$F:$F,MATCH(M29,SpecTables!$A:$A,0))</f>
        <v>524</v>
      </c>
      <c r="O29" s="36" t="str">
        <f aca="false">J29&amp;"-"&amp;TEXT(L29,"000")&amp;"-"&amp;TEXT(N29,"000")</f>
        <v>P-06-565-524</v>
      </c>
      <c r="P29" s="35" t="s">
        <v>334</v>
      </c>
      <c r="Q29" s="33" t="s">
        <v>335</v>
      </c>
    </row>
    <row r="30" customFormat="false" ht="23.85" hidden="false" customHeight="false" outlineLevel="0" collapsed="false">
      <c r="A30" s="32" t="s">
        <v>62</v>
      </c>
      <c r="B30" s="32" t="s">
        <v>326</v>
      </c>
      <c r="C30" s="32" t="s">
        <v>97</v>
      </c>
      <c r="D30" s="32" t="s">
        <v>336</v>
      </c>
      <c r="E30" s="33" t="s">
        <v>337</v>
      </c>
      <c r="F30" s="32" t="n">
        <v>3</v>
      </c>
      <c r="G30" s="32" t="n">
        <v>2.5</v>
      </c>
      <c r="H30" s="32" t="n">
        <v>3</v>
      </c>
      <c r="I30" s="32" t="s">
        <v>338</v>
      </c>
      <c r="J30" s="32" t="s">
        <v>330</v>
      </c>
      <c r="K30" s="32" t="s">
        <v>140</v>
      </c>
      <c r="L30" s="34" t="n">
        <f aca="false">INDEX(SpecTables!$F:$F,MATCH(K30,SpecTables!$A:$A,0))</f>
        <v>707</v>
      </c>
      <c r="M30" s="35" t="s">
        <v>60</v>
      </c>
      <c r="N30" s="34" t="n">
        <f aca="false">INDEX(SpecTables!$F:$F,MATCH(M30,SpecTables!$A:$A,0))</f>
        <v>449</v>
      </c>
      <c r="O30" s="36" t="str">
        <f aca="false">J30&amp;"-"&amp;TEXT(L30,"000")&amp;"-"&amp;TEXT(N30,"000")</f>
        <v>P-06-707-449</v>
      </c>
      <c r="P30" s="35" t="s">
        <v>253</v>
      </c>
      <c r="Q30" s="33" t="s">
        <v>339</v>
      </c>
    </row>
    <row r="31" customFormat="false" ht="23.85" hidden="false" customHeight="false" outlineLevel="0" collapsed="false">
      <c r="A31" s="32" t="s">
        <v>171</v>
      </c>
      <c r="B31" s="32" t="s">
        <v>326</v>
      </c>
      <c r="C31" s="32" t="s">
        <v>127</v>
      </c>
      <c r="D31" s="32" t="s">
        <v>340</v>
      </c>
      <c r="E31" s="33" t="s">
        <v>341</v>
      </c>
      <c r="F31" s="32" t="n">
        <v>3</v>
      </c>
      <c r="G31" s="32" t="n">
        <v>2.5</v>
      </c>
      <c r="H31" s="32" t="n">
        <v>2</v>
      </c>
      <c r="I31" s="32" t="s">
        <v>333</v>
      </c>
      <c r="J31" s="32" t="s">
        <v>330</v>
      </c>
      <c r="K31" s="32" t="s">
        <v>169</v>
      </c>
      <c r="L31" s="34" t="n">
        <f aca="false">INDEX(SpecTables!$F:$F,MATCH(K31,SpecTables!$A:$A,0))</f>
        <v>793</v>
      </c>
      <c r="M31" s="35" t="s">
        <v>197</v>
      </c>
      <c r="N31" s="34" t="n">
        <f aca="false">INDEX(SpecTables!$F:$F,MATCH(M31,SpecTables!$A:$A,0))</f>
        <v>509</v>
      </c>
      <c r="O31" s="36" t="str">
        <f aca="false">J31&amp;"-"&amp;TEXT(L31,"000")&amp;"-"&amp;TEXT(N31,"000")</f>
        <v>P-06-793-509</v>
      </c>
      <c r="P31" s="35" t="s">
        <v>342</v>
      </c>
      <c r="Q31" s="33" t="s">
        <v>343</v>
      </c>
    </row>
    <row r="32" customFormat="false" ht="35.05" hidden="false" customHeight="false" outlineLevel="0" collapsed="false">
      <c r="A32" s="32" t="s">
        <v>213</v>
      </c>
      <c r="B32" s="32" t="s">
        <v>326</v>
      </c>
      <c r="C32" s="32" t="s">
        <v>156</v>
      </c>
      <c r="D32" s="32" t="s">
        <v>344</v>
      </c>
      <c r="E32" s="33" t="s">
        <v>345</v>
      </c>
      <c r="F32" s="32" t="n">
        <v>3</v>
      </c>
      <c r="G32" s="32" t="n">
        <v>2</v>
      </c>
      <c r="H32" s="32" t="n">
        <v>2</v>
      </c>
      <c r="I32" s="32" t="s">
        <v>346</v>
      </c>
      <c r="J32" s="32" t="s">
        <v>330</v>
      </c>
      <c r="K32" s="32" t="s">
        <v>211</v>
      </c>
      <c r="L32" s="34" t="n">
        <f aca="false">INDEX(SpecTables!$F:$F,MATCH(K32,SpecTables!$A:$A,0))</f>
        <v>306</v>
      </c>
      <c r="M32" s="35" t="s">
        <v>227</v>
      </c>
      <c r="N32" s="34" t="n">
        <f aca="false">INDEX(SpecTables!$F:$F,MATCH(M32,SpecTables!$A:$A,0))</f>
        <v>606</v>
      </c>
      <c r="O32" s="36" t="str">
        <f aca="false">J32&amp;"-"&amp;TEXT(L32,"000")&amp;"-"&amp;TEXT(N32,"000")</f>
        <v>P-06-306-606</v>
      </c>
      <c r="P32" s="35" t="s">
        <v>253</v>
      </c>
      <c r="Q32" s="33" t="s">
        <v>347</v>
      </c>
    </row>
    <row r="33" customFormat="false" ht="23.85" hidden="false" customHeight="false" outlineLevel="0" collapsed="false">
      <c r="A33" s="32" t="s">
        <v>46</v>
      </c>
      <c r="B33" s="32" t="s">
        <v>326</v>
      </c>
      <c r="C33" s="32" t="s">
        <v>187</v>
      </c>
      <c r="D33" s="32" t="s">
        <v>348</v>
      </c>
      <c r="E33" s="33" t="s">
        <v>349</v>
      </c>
      <c r="F33" s="32" t="n">
        <v>3</v>
      </c>
      <c r="G33" s="32" t="n">
        <v>2.5</v>
      </c>
      <c r="H33" s="32" t="n">
        <v>3</v>
      </c>
      <c r="I33" s="32" t="s">
        <v>350</v>
      </c>
      <c r="J33" s="32" t="s">
        <v>330</v>
      </c>
      <c r="K33" s="32" t="s">
        <v>44</v>
      </c>
      <c r="L33" s="34" t="n">
        <f aca="false">INDEX(SpecTables!$F:$F,MATCH(K33,SpecTables!$A:$A,0))</f>
        <v>242</v>
      </c>
      <c r="M33" s="35" t="s">
        <v>151</v>
      </c>
      <c r="N33" s="34" t="n">
        <f aca="false">INDEX(SpecTables!$F:$F,MATCH(M33,SpecTables!$A:$A,0))</f>
        <v>495</v>
      </c>
      <c r="O33" s="36" t="str">
        <f aca="false">J33&amp;"-"&amp;TEXT(L33,"000")&amp;"-"&amp;TEXT(N33,"000")</f>
        <v>P-06-242-495</v>
      </c>
      <c r="P33" s="35" t="s">
        <v>253</v>
      </c>
      <c r="Q33" s="33" t="s">
        <v>351</v>
      </c>
    </row>
    <row r="34" customFormat="false" ht="23.85" hidden="false" customHeight="false" outlineLevel="0" collapsed="false">
      <c r="A34" s="37" t="s">
        <v>183</v>
      </c>
      <c r="B34" s="37" t="s">
        <v>352</v>
      </c>
      <c r="C34" s="37" t="s">
        <v>30</v>
      </c>
      <c r="D34" s="37" t="s">
        <v>353</v>
      </c>
      <c r="E34" s="38" t="s">
        <v>354</v>
      </c>
      <c r="F34" s="37" t="n">
        <v>2</v>
      </c>
      <c r="G34" s="37" t="n">
        <v>2</v>
      </c>
      <c r="H34" s="37" t="n">
        <v>2</v>
      </c>
      <c r="I34" s="37" t="s">
        <v>350</v>
      </c>
      <c r="J34" s="37" t="s">
        <v>355</v>
      </c>
      <c r="K34" s="37" t="s">
        <v>229</v>
      </c>
      <c r="L34" s="39" t="n">
        <f aca="false">INDEX(SpecTables!$F:$F,MATCH(K34,SpecTables!$A:$A,0))</f>
        <v>243</v>
      </c>
      <c r="M34" s="40" t="s">
        <v>181</v>
      </c>
      <c r="N34" s="39" t="n">
        <f aca="false">INDEX(SpecTables!$F:$F,MATCH(M34,SpecTables!$A:$A,0))</f>
        <v>534</v>
      </c>
      <c r="O34" s="41" t="str">
        <f aca="false">J34&amp;"-"&amp;TEXT(L34,"000")&amp;"-"&amp;TEXT(N34,"000")</f>
        <v>P-07-243-534</v>
      </c>
      <c r="P34" s="40" t="s">
        <v>253</v>
      </c>
      <c r="Q34" s="38" t="s">
        <v>356</v>
      </c>
    </row>
    <row r="35" customFormat="false" ht="23.85" hidden="false" customHeight="false" outlineLevel="0" collapsed="false">
      <c r="A35" s="37" t="s">
        <v>74</v>
      </c>
      <c r="B35" s="37" t="s">
        <v>352</v>
      </c>
      <c r="C35" s="37" t="s">
        <v>97</v>
      </c>
      <c r="D35" s="37" t="s">
        <v>357</v>
      </c>
      <c r="E35" s="38" t="s">
        <v>358</v>
      </c>
      <c r="F35" s="37" t="n">
        <v>2</v>
      </c>
      <c r="G35" s="37" t="n">
        <v>2.5</v>
      </c>
      <c r="H35" s="37" t="n">
        <v>2</v>
      </c>
      <c r="I35" s="37" t="s">
        <v>359</v>
      </c>
      <c r="J35" s="37" t="s">
        <v>355</v>
      </c>
      <c r="K35" s="37" t="s">
        <v>216</v>
      </c>
      <c r="L35" s="39" t="n">
        <f aca="false">INDEX(SpecTables!$F:$F,MATCH(K35,SpecTables!$A:$A,0))</f>
        <v>106</v>
      </c>
      <c r="M35" s="40" t="s">
        <v>72</v>
      </c>
      <c r="N35" s="39" t="n">
        <f aca="false">INDEX(SpecTables!$F:$F,MATCH(M35,SpecTables!$A:$A,0))</f>
        <v>722</v>
      </c>
      <c r="O35" s="41" t="str">
        <f aca="false">J35&amp;"-"&amp;TEXT(L35,"000")&amp;"-"&amp;TEXT(N35,"000")</f>
        <v>P-07-106-722</v>
      </c>
      <c r="P35" s="40" t="s">
        <v>253</v>
      </c>
      <c r="Q35" s="38" t="s">
        <v>360</v>
      </c>
    </row>
    <row r="36" customFormat="false" ht="23.85" hidden="false" customHeight="false" outlineLevel="0" collapsed="false">
      <c r="A36" s="37" t="s">
        <v>56</v>
      </c>
      <c r="B36" s="37" t="s">
        <v>352</v>
      </c>
      <c r="C36" s="37" t="s">
        <v>64</v>
      </c>
      <c r="D36" s="37" t="s">
        <v>361</v>
      </c>
      <c r="E36" s="38" t="s">
        <v>362</v>
      </c>
      <c r="F36" s="37" t="n">
        <v>2</v>
      </c>
      <c r="G36" s="37" t="n">
        <v>2</v>
      </c>
      <c r="H36" s="37" t="n">
        <v>2</v>
      </c>
      <c r="I36" s="37" t="s">
        <v>304</v>
      </c>
      <c r="J36" s="37" t="s">
        <v>355</v>
      </c>
      <c r="K36" s="37" t="s">
        <v>225</v>
      </c>
      <c r="L36" s="39" t="n">
        <f aca="false">INDEX(SpecTables!$F:$F,MATCH(K36,SpecTables!$A:$A,0))</f>
        <v>490</v>
      </c>
      <c r="M36" s="40" t="s">
        <v>54</v>
      </c>
      <c r="N36" s="39" t="n">
        <f aca="false">INDEX(SpecTables!$F:$F,MATCH(M36,SpecTables!$A:$A,0))</f>
        <v>795</v>
      </c>
      <c r="O36" s="41" t="str">
        <f aca="false">J36&amp;"-"&amp;TEXT(L36,"000")&amp;"-"&amp;TEXT(N36,"000")</f>
        <v>P-07-490-795</v>
      </c>
      <c r="P36" s="40" t="s">
        <v>253</v>
      </c>
      <c r="Q36" s="38" t="s">
        <v>363</v>
      </c>
    </row>
    <row r="37" customFormat="false" ht="23.85" hidden="false" customHeight="false" outlineLevel="0" collapsed="false">
      <c r="A37" s="37" t="s">
        <v>201</v>
      </c>
      <c r="B37" s="37" t="s">
        <v>352</v>
      </c>
      <c r="C37" s="37" t="s">
        <v>127</v>
      </c>
      <c r="D37" s="37" t="s">
        <v>364</v>
      </c>
      <c r="E37" s="38" t="s">
        <v>365</v>
      </c>
      <c r="F37" s="37" t="n">
        <v>2</v>
      </c>
      <c r="G37" s="37" t="n">
        <v>1.5</v>
      </c>
      <c r="H37" s="37" t="n">
        <v>2</v>
      </c>
      <c r="I37" s="37" t="s">
        <v>309</v>
      </c>
      <c r="J37" s="37" t="s">
        <v>355</v>
      </c>
      <c r="K37" s="37" t="s">
        <v>223</v>
      </c>
      <c r="L37" s="39" t="n">
        <f aca="false">INDEX(SpecTables!$F:$F,MATCH(K37,SpecTables!$A:$A,0))</f>
        <v>157</v>
      </c>
      <c r="M37" s="40" t="s">
        <v>199</v>
      </c>
      <c r="N37" s="39" t="n">
        <f aca="false">INDEX(SpecTables!$F:$F,MATCH(M37,SpecTables!$A:$A,0))</f>
        <v>390</v>
      </c>
      <c r="O37" s="41" t="str">
        <f aca="false">J37&amp;"-"&amp;TEXT(L37,"000")&amp;"-"&amp;TEXT(N37,"000")</f>
        <v>P-07-157-390</v>
      </c>
      <c r="P37" s="40" t="s">
        <v>366</v>
      </c>
      <c r="Q37" s="38" t="s">
        <v>367</v>
      </c>
    </row>
  </sheetData>
  <autoFilter ref="A1:Q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20"/>
    <col collapsed="false" customWidth="true" hidden="false" outlineLevel="0" max="8" min="8" style="0" width="4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2" t="s">
        <v>369</v>
      </c>
    </row>
    <row r="4" customFormat="false" ht="15" hidden="false" customHeight="false" outlineLevel="0" collapsed="false">
      <c r="A4" s="42" t="s">
        <v>370</v>
      </c>
      <c r="B4" s="43" t="s">
        <v>371</v>
      </c>
      <c r="C4" s="43" t="s">
        <v>372</v>
      </c>
      <c r="D4" s="43" t="s">
        <v>373</v>
      </c>
      <c r="E4" s="43" t="s">
        <v>374</v>
      </c>
      <c r="F4" s="43" t="s">
        <v>375</v>
      </c>
      <c r="G4" s="43" t="s">
        <v>376</v>
      </c>
    </row>
    <row r="5" customFormat="false" ht="35.05" hidden="false" customHeight="false" outlineLevel="0" collapsed="false">
      <c r="A5" s="44" t="s">
        <v>377</v>
      </c>
      <c r="B5" s="20" t="s">
        <v>378</v>
      </c>
      <c r="C5" s="28" t="s">
        <v>379</v>
      </c>
      <c r="D5" s="28" t="s">
        <v>95</v>
      </c>
      <c r="E5" s="9" t="s">
        <v>380</v>
      </c>
      <c r="F5" s="28" t="s">
        <v>183</v>
      </c>
      <c r="G5" s="28" t="s">
        <v>183</v>
      </c>
    </row>
    <row r="6" customFormat="false" ht="46.25" hidden="false" customHeight="false" outlineLevel="0" collapsed="false">
      <c r="A6" s="44" t="s">
        <v>381</v>
      </c>
      <c r="B6" s="28" t="s">
        <v>56</v>
      </c>
      <c r="C6" s="20" t="s">
        <v>382</v>
      </c>
      <c r="D6" s="28" t="s">
        <v>383</v>
      </c>
      <c r="E6" s="28" t="s">
        <v>56</v>
      </c>
      <c r="F6" s="9" t="s">
        <v>380</v>
      </c>
      <c r="G6" s="9" t="s">
        <v>380</v>
      </c>
    </row>
    <row r="7" customFormat="false" ht="35.05" hidden="false" customHeight="false" outlineLevel="0" collapsed="false">
      <c r="A7" s="44" t="s">
        <v>384</v>
      </c>
      <c r="B7" s="28" t="s">
        <v>385</v>
      </c>
      <c r="C7" s="28" t="s">
        <v>74</v>
      </c>
      <c r="D7" s="20" t="s">
        <v>386</v>
      </c>
      <c r="E7" s="28" t="s">
        <v>387</v>
      </c>
      <c r="F7" s="9" t="s">
        <v>380</v>
      </c>
      <c r="G7" s="9" t="s">
        <v>380</v>
      </c>
    </row>
    <row r="8" customFormat="false" ht="35.05" hidden="false" customHeight="false" outlineLevel="0" collapsed="false">
      <c r="A8" s="44" t="s">
        <v>388</v>
      </c>
      <c r="B8" s="9" t="s">
        <v>380</v>
      </c>
      <c r="C8" s="9" t="s">
        <v>380</v>
      </c>
      <c r="D8" s="28" t="s">
        <v>201</v>
      </c>
      <c r="E8" s="20" t="s">
        <v>389</v>
      </c>
      <c r="F8" s="28" t="s">
        <v>390</v>
      </c>
      <c r="G8" s="28" t="s">
        <v>391</v>
      </c>
    </row>
    <row r="9" customFormat="false" ht="35.05" hidden="false" customHeight="false" outlineLevel="0" collapsed="false">
      <c r="A9" s="44" t="s">
        <v>392</v>
      </c>
      <c r="B9" s="9" t="s">
        <v>380</v>
      </c>
      <c r="C9" s="9" t="s">
        <v>380</v>
      </c>
      <c r="D9" s="9" t="s">
        <v>380</v>
      </c>
      <c r="E9" s="9" t="s">
        <v>380</v>
      </c>
      <c r="F9" s="20" t="s">
        <v>393</v>
      </c>
      <c r="G9" s="28" t="s">
        <v>394</v>
      </c>
    </row>
    <row r="10" customFormat="false" ht="35.05" hidden="false" customHeight="false" outlineLevel="0" collapsed="false">
      <c r="A10" s="44" t="s">
        <v>395</v>
      </c>
      <c r="B10" s="28" t="s">
        <v>396</v>
      </c>
      <c r="C10" s="9" t="s">
        <v>380</v>
      </c>
      <c r="D10" s="9" t="s">
        <v>380</v>
      </c>
      <c r="E10" s="28" t="s">
        <v>46</v>
      </c>
      <c r="F10" s="9" t="s">
        <v>380</v>
      </c>
      <c r="G10" s="20" t="s">
        <v>397</v>
      </c>
    </row>
    <row r="13" customFormat="false" ht="15" hidden="false" customHeight="false" outlineLevel="0" collapsed="false">
      <c r="A13" s="2" t="s">
        <v>398</v>
      </c>
    </row>
    <row r="15" customFormat="false" ht="15" hidden="false" customHeight="false" outlineLevel="0" collapsed="false">
      <c r="A15" s="45" t="s">
        <v>399</v>
      </c>
    </row>
    <row r="16" customFormat="false" ht="15" hidden="false" customHeight="false" outlineLevel="0" collapsed="false">
      <c r="A16" s="46" t="s">
        <v>400</v>
      </c>
      <c r="B16" s="47" t="s">
        <v>401</v>
      </c>
      <c r="C16" s="47"/>
      <c r="D16" s="47"/>
      <c r="E16" s="47"/>
      <c r="F16" s="47"/>
      <c r="G16" s="47"/>
    </row>
    <row r="17" customFormat="false" ht="15" hidden="false" customHeight="false" outlineLevel="0" collapsed="false">
      <c r="A17" s="46" t="s">
        <v>402</v>
      </c>
      <c r="B17" s="47" t="s">
        <v>403</v>
      </c>
      <c r="C17" s="47"/>
      <c r="D17" s="47"/>
      <c r="E17" s="47"/>
      <c r="F17" s="47"/>
      <c r="G17" s="47"/>
    </row>
    <row r="18" customFormat="false" ht="15" hidden="false" customHeight="false" outlineLevel="0" collapsed="false">
      <c r="A18" s="46" t="s">
        <v>404</v>
      </c>
      <c r="B18" s="47" t="s">
        <v>405</v>
      </c>
      <c r="C18" s="47"/>
      <c r="D18" s="47"/>
      <c r="E18" s="47"/>
      <c r="F18" s="47"/>
      <c r="G18" s="47"/>
    </row>
    <row r="19" customFormat="false" ht="15" hidden="false" customHeight="false" outlineLevel="0" collapsed="false">
      <c r="A19" s="46" t="s">
        <v>406</v>
      </c>
      <c r="B19" s="47" t="s">
        <v>407</v>
      </c>
      <c r="C19" s="47"/>
      <c r="D19" s="47"/>
      <c r="E19" s="47"/>
      <c r="F19" s="47"/>
      <c r="G19" s="47"/>
    </row>
    <row r="20" customFormat="false" ht="15" hidden="false" customHeight="false" outlineLevel="0" collapsed="false">
      <c r="A20" s="46" t="s">
        <v>408</v>
      </c>
      <c r="B20" s="47" t="s">
        <v>409</v>
      </c>
      <c r="C20" s="47"/>
      <c r="D20" s="47"/>
      <c r="E20" s="47"/>
      <c r="F20" s="47"/>
      <c r="G20" s="47"/>
    </row>
    <row r="21" customFormat="false" ht="15" hidden="false" customHeight="false" outlineLevel="0" collapsed="false">
      <c r="A21" s="46" t="s">
        <v>410</v>
      </c>
      <c r="B21" s="47" t="s">
        <v>411</v>
      </c>
      <c r="C21" s="47"/>
      <c r="D21" s="47"/>
      <c r="E21" s="47"/>
      <c r="F21" s="47"/>
      <c r="G21" s="47"/>
    </row>
  </sheetData>
  <mergeCells count="6">
    <mergeCell ref="B16:G16"/>
    <mergeCell ref="B17:G17"/>
    <mergeCell ref="B18:G18"/>
    <mergeCell ref="B19:G19"/>
    <mergeCell ref="B20:G20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5" t="s">
        <v>21</v>
      </c>
      <c r="B1" s="5" t="s">
        <v>412</v>
      </c>
      <c r="C1" s="5" t="s">
        <v>413</v>
      </c>
    </row>
    <row r="2" customFormat="false" ht="23.85" hidden="false" customHeight="false" outlineLevel="0" collapsed="false">
      <c r="A2" s="44" t="s">
        <v>30</v>
      </c>
      <c r="B2" s="6" t="s">
        <v>414</v>
      </c>
      <c r="C2" s="9" t="s">
        <v>415</v>
      </c>
    </row>
    <row r="3" customFormat="false" ht="79.85" hidden="false" customHeight="false" outlineLevel="0" collapsed="false">
      <c r="A3" s="44" t="s">
        <v>30</v>
      </c>
      <c r="B3" s="6" t="s">
        <v>416</v>
      </c>
      <c r="C3" s="9" t="s">
        <v>417</v>
      </c>
    </row>
    <row r="4" customFormat="false" ht="15" hidden="false" customHeight="false" outlineLevel="0" collapsed="false">
      <c r="A4" s="44" t="s">
        <v>30</v>
      </c>
      <c r="B4" s="6" t="s">
        <v>418</v>
      </c>
      <c r="C4" s="9" t="s">
        <v>419</v>
      </c>
    </row>
    <row r="5" customFormat="false" ht="15" hidden="false" customHeight="false" outlineLevel="0" collapsed="false">
      <c r="A5" s="44" t="s">
        <v>30</v>
      </c>
      <c r="B5" s="6" t="s">
        <v>420</v>
      </c>
      <c r="C5" s="9" t="s">
        <v>421</v>
      </c>
    </row>
    <row r="6" customFormat="false" ht="15" hidden="false" customHeight="false" outlineLevel="0" collapsed="false">
      <c r="A6" s="44" t="s">
        <v>30</v>
      </c>
      <c r="B6" s="6" t="s">
        <v>422</v>
      </c>
      <c r="C6" s="9" t="s">
        <v>423</v>
      </c>
    </row>
    <row r="7" customFormat="false" ht="23.85" hidden="false" customHeight="false" outlineLevel="0" collapsed="false">
      <c r="A7" s="44" t="s">
        <v>64</v>
      </c>
      <c r="B7" s="6" t="s">
        <v>414</v>
      </c>
      <c r="C7" s="9" t="s">
        <v>424</v>
      </c>
    </row>
    <row r="8" customFormat="false" ht="79.85" hidden="false" customHeight="false" outlineLevel="0" collapsed="false">
      <c r="A8" s="44" t="s">
        <v>64</v>
      </c>
      <c r="B8" s="6" t="s">
        <v>416</v>
      </c>
      <c r="C8" s="9" t="s">
        <v>425</v>
      </c>
    </row>
    <row r="9" customFormat="false" ht="23.85" hidden="false" customHeight="false" outlineLevel="0" collapsed="false">
      <c r="A9" s="44" t="s">
        <v>64</v>
      </c>
      <c r="B9" s="6" t="s">
        <v>418</v>
      </c>
      <c r="C9" s="9" t="s">
        <v>426</v>
      </c>
    </row>
    <row r="10" customFormat="false" ht="15" hidden="false" customHeight="false" outlineLevel="0" collapsed="false">
      <c r="A10" s="44" t="s">
        <v>64</v>
      </c>
      <c r="B10" s="6" t="s">
        <v>420</v>
      </c>
      <c r="C10" s="9" t="s">
        <v>427</v>
      </c>
    </row>
    <row r="11" customFormat="false" ht="15" hidden="false" customHeight="false" outlineLevel="0" collapsed="false">
      <c r="A11" s="44" t="s">
        <v>64</v>
      </c>
      <c r="B11" s="6" t="s">
        <v>422</v>
      </c>
      <c r="C11" s="9" t="s">
        <v>423</v>
      </c>
    </row>
    <row r="12" customFormat="false" ht="23.85" hidden="false" customHeight="false" outlineLevel="0" collapsed="false">
      <c r="A12" s="44" t="s">
        <v>97</v>
      </c>
      <c r="B12" s="6" t="s">
        <v>414</v>
      </c>
      <c r="C12" s="9" t="s">
        <v>428</v>
      </c>
    </row>
    <row r="13" customFormat="false" ht="68.65" hidden="false" customHeight="false" outlineLevel="0" collapsed="false">
      <c r="A13" s="44" t="s">
        <v>97</v>
      </c>
      <c r="B13" s="6" t="s">
        <v>416</v>
      </c>
      <c r="C13" s="9" t="s">
        <v>429</v>
      </c>
    </row>
    <row r="14" customFormat="false" ht="15" hidden="false" customHeight="false" outlineLevel="0" collapsed="false">
      <c r="A14" s="44" t="s">
        <v>97</v>
      </c>
      <c r="B14" s="6" t="s">
        <v>418</v>
      </c>
      <c r="C14" s="9" t="s">
        <v>430</v>
      </c>
    </row>
    <row r="15" customFormat="false" ht="15" hidden="false" customHeight="false" outlineLevel="0" collapsed="false">
      <c r="A15" s="44" t="s">
        <v>97</v>
      </c>
      <c r="B15" s="6" t="s">
        <v>420</v>
      </c>
      <c r="C15" s="9" t="s">
        <v>431</v>
      </c>
    </row>
    <row r="16" customFormat="false" ht="15" hidden="false" customHeight="false" outlineLevel="0" collapsed="false">
      <c r="A16" s="44" t="s">
        <v>97</v>
      </c>
      <c r="B16" s="6" t="s">
        <v>422</v>
      </c>
      <c r="C16" s="9" t="s">
        <v>423</v>
      </c>
    </row>
    <row r="17" customFormat="false" ht="23.85" hidden="false" customHeight="false" outlineLevel="0" collapsed="false">
      <c r="A17" s="44" t="s">
        <v>127</v>
      </c>
      <c r="B17" s="6" t="s">
        <v>414</v>
      </c>
      <c r="C17" s="9" t="s">
        <v>432</v>
      </c>
    </row>
    <row r="18" customFormat="false" ht="68.65" hidden="false" customHeight="false" outlineLevel="0" collapsed="false">
      <c r="A18" s="44" t="s">
        <v>127</v>
      </c>
      <c r="B18" s="6" t="s">
        <v>416</v>
      </c>
      <c r="C18" s="9" t="s">
        <v>433</v>
      </c>
    </row>
    <row r="19" customFormat="false" ht="15" hidden="false" customHeight="false" outlineLevel="0" collapsed="false">
      <c r="A19" s="44" t="s">
        <v>127</v>
      </c>
      <c r="B19" s="6" t="s">
        <v>418</v>
      </c>
      <c r="C19" s="9" t="s">
        <v>434</v>
      </c>
    </row>
    <row r="20" customFormat="false" ht="15" hidden="false" customHeight="false" outlineLevel="0" collapsed="false">
      <c r="A20" s="44" t="s">
        <v>127</v>
      </c>
      <c r="B20" s="6" t="s">
        <v>420</v>
      </c>
      <c r="C20" s="9" t="s">
        <v>435</v>
      </c>
    </row>
    <row r="21" customFormat="false" ht="15" hidden="false" customHeight="false" outlineLevel="0" collapsed="false">
      <c r="A21" s="44" t="s">
        <v>127</v>
      </c>
      <c r="B21" s="6" t="s">
        <v>422</v>
      </c>
      <c r="C21" s="9" t="s">
        <v>423</v>
      </c>
    </row>
    <row r="22" customFormat="false" ht="35.05" hidden="false" customHeight="false" outlineLevel="0" collapsed="false">
      <c r="A22" s="44" t="s">
        <v>156</v>
      </c>
      <c r="B22" s="6" t="s">
        <v>414</v>
      </c>
      <c r="C22" s="9" t="s">
        <v>436</v>
      </c>
    </row>
    <row r="23" customFormat="false" ht="46.25" hidden="false" customHeight="false" outlineLevel="0" collapsed="false">
      <c r="A23" s="44" t="s">
        <v>156</v>
      </c>
      <c r="B23" s="6" t="s">
        <v>416</v>
      </c>
      <c r="C23" s="9" t="s">
        <v>437</v>
      </c>
    </row>
    <row r="24" customFormat="false" ht="15" hidden="false" customHeight="false" outlineLevel="0" collapsed="false">
      <c r="A24" s="44" t="s">
        <v>156</v>
      </c>
      <c r="B24" s="6" t="s">
        <v>418</v>
      </c>
      <c r="C24" s="9" t="s">
        <v>438</v>
      </c>
    </row>
    <row r="25" customFormat="false" ht="15" hidden="false" customHeight="false" outlineLevel="0" collapsed="false">
      <c r="A25" s="44" t="s">
        <v>156</v>
      </c>
      <c r="B25" s="6" t="s">
        <v>420</v>
      </c>
      <c r="C25" s="9" t="s">
        <v>439</v>
      </c>
    </row>
    <row r="26" customFormat="false" ht="15" hidden="false" customHeight="false" outlineLevel="0" collapsed="false">
      <c r="A26" s="44" t="s">
        <v>156</v>
      </c>
      <c r="B26" s="6" t="s">
        <v>422</v>
      </c>
      <c r="C26" s="9" t="s">
        <v>423</v>
      </c>
    </row>
    <row r="27" customFormat="false" ht="23.85" hidden="false" customHeight="false" outlineLevel="0" collapsed="false">
      <c r="A27" s="44" t="s">
        <v>187</v>
      </c>
      <c r="B27" s="6" t="s">
        <v>414</v>
      </c>
      <c r="C27" s="9" t="s">
        <v>440</v>
      </c>
    </row>
    <row r="28" customFormat="false" ht="46.25" hidden="false" customHeight="false" outlineLevel="0" collapsed="false">
      <c r="A28" s="44" t="s">
        <v>187</v>
      </c>
      <c r="B28" s="6" t="s">
        <v>416</v>
      </c>
      <c r="C28" s="9" t="s">
        <v>441</v>
      </c>
    </row>
    <row r="29" customFormat="false" ht="15" hidden="false" customHeight="false" outlineLevel="0" collapsed="false">
      <c r="A29" s="44" t="s">
        <v>187</v>
      </c>
      <c r="B29" s="6" t="s">
        <v>418</v>
      </c>
      <c r="C29" s="9" t="s">
        <v>442</v>
      </c>
    </row>
    <row r="30" customFormat="false" ht="15" hidden="false" customHeight="false" outlineLevel="0" collapsed="false">
      <c r="A30" s="44" t="s">
        <v>187</v>
      </c>
      <c r="B30" s="6" t="s">
        <v>420</v>
      </c>
      <c r="C30" s="9" t="s">
        <v>443</v>
      </c>
    </row>
    <row r="31" customFormat="false" ht="15" hidden="false" customHeight="false" outlineLevel="0" collapsed="false">
      <c r="A31" s="44" t="s">
        <v>187</v>
      </c>
      <c r="B31" s="6" t="s">
        <v>422</v>
      </c>
      <c r="C31" s="9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5" t="s">
        <v>444</v>
      </c>
      <c r="B1" s="5" t="s">
        <v>445</v>
      </c>
      <c r="C1" s="5" t="s">
        <v>446</v>
      </c>
      <c r="D1" s="5" t="s">
        <v>447</v>
      </c>
    </row>
    <row r="2" customFormat="false" ht="15" hidden="false" customHeight="false" outlineLevel="0" collapsed="false">
      <c r="A2" s="6" t="s">
        <v>448</v>
      </c>
      <c r="B2" s="6" t="n">
        <v>6</v>
      </c>
      <c r="C2" s="6" t="n">
        <f aca="false">COUNTIF(Faults!$B$2:$B$37,"R0")</f>
        <v>6</v>
      </c>
      <c r="D2" s="44" t="str">
        <f aca="false">IF(C2=6,"OK","CHECK")</f>
        <v>OK</v>
      </c>
    </row>
    <row r="3" customFormat="false" ht="15" hidden="false" customHeight="false" outlineLevel="0" collapsed="false">
      <c r="A3" s="6" t="s">
        <v>449</v>
      </c>
      <c r="B3" s="6" t="n">
        <v>8</v>
      </c>
      <c r="C3" s="6" t="n">
        <f aca="false">COUNTIF(Faults!$B$2:$B$37,"R1")</f>
        <v>8</v>
      </c>
      <c r="D3" s="44" t="str">
        <f aca="false">IF(C3=8,"OK","CHECK")</f>
        <v>OK</v>
      </c>
    </row>
    <row r="4" customFormat="false" ht="15" hidden="false" customHeight="false" outlineLevel="0" collapsed="false">
      <c r="A4" s="6" t="s">
        <v>450</v>
      </c>
      <c r="B4" s="6" t="n">
        <v>12</v>
      </c>
      <c r="C4" s="6" t="n">
        <f aca="false">COUNTIF(Faults!$B$2:$B$37,"R2")</f>
        <v>12</v>
      </c>
      <c r="D4" s="44" t="str">
        <f aca="false">IF(C4=12,"OK","CHECK")</f>
        <v>OK</v>
      </c>
    </row>
    <row r="5" customFormat="false" ht="15" hidden="false" customHeight="false" outlineLevel="0" collapsed="false">
      <c r="A5" s="6" t="s">
        <v>451</v>
      </c>
      <c r="B5" s="6" t="n">
        <v>6</v>
      </c>
      <c r="C5" s="6" t="n">
        <f aca="false">COUNTIF(Faults!$B$2:$B$37,"R3")</f>
        <v>6</v>
      </c>
      <c r="D5" s="44" t="str">
        <f aca="false">IF(C5=6,"OK","CHECK")</f>
        <v>OK</v>
      </c>
    </row>
    <row r="6" customFormat="false" ht="15" hidden="false" customHeight="false" outlineLevel="0" collapsed="false">
      <c r="A6" s="6" t="s">
        <v>452</v>
      </c>
      <c r="B6" s="6" t="n">
        <v>4</v>
      </c>
      <c r="C6" s="6" t="n">
        <f aca="false">COUNTIF(Faults!$B$2:$B$37,"R4")</f>
        <v>4</v>
      </c>
      <c r="D6" s="44" t="str">
        <f aca="false">IF(C6=4,"OK","CHECK")</f>
        <v>OK</v>
      </c>
    </row>
    <row r="7" customFormat="false" ht="15" hidden="false" customHeight="false" outlineLevel="0" collapsed="false">
      <c r="A7" s="6" t="s">
        <v>453</v>
      </c>
      <c r="B7" s="6" t="n">
        <v>66</v>
      </c>
      <c r="C7" s="6" t="n">
        <f aca="false">SUMPRODUCT(COUNTIF(SpecTables!$F$2:$F$67,SpecTables!$F$2:$F$67))</f>
        <v>66</v>
      </c>
      <c r="D7" s="44" t="str">
        <f aca="false">IF(C7=66,"OK","CHECK")</f>
        <v>OK</v>
      </c>
    </row>
    <row r="8" customFormat="false" ht="15" hidden="false" customHeight="false" outlineLevel="0" collapsed="false">
      <c r="A8" s="6" t="s">
        <v>454</v>
      </c>
      <c r="B8" s="6" t="n">
        <v>6</v>
      </c>
      <c r="C8" s="6" t="n">
        <f aca="false">SUMPRODUCT((COUNTIF(Faults!$K$2:$K$37,{"PC-1";"WC-1";"MC-1";"TC-1";"AC-1";"CC-1"})+COUNTIF(Faults!$M$2:$M$37,{"PC-1";"WC-1";"MC-1";"TC-1";"AC-1";"CC-1"})&gt;0)*1)</f>
        <v>6</v>
      </c>
      <c r="D8" s="44" t="str">
        <f aca="false">IF(C8=6,"OK","CHECK")</f>
        <v>OK</v>
      </c>
    </row>
    <row r="9" customFormat="false" ht="15" hidden="false" customHeight="false" outlineLevel="0" collapsed="false">
      <c r="A9" s="6" t="s">
        <v>455</v>
      </c>
      <c r="B9" s="6" t="n">
        <v>340</v>
      </c>
      <c r="C9" s="6" t="n">
        <f aca="false">INDEX(SpecTables!$F:$F,MATCH("W4-3",SpecTables!$A:$A,0))</f>
        <v>340</v>
      </c>
      <c r="D9" s="44" t="str">
        <f aca="false">IF(C9=340,"OK","CHECK")</f>
        <v>OK</v>
      </c>
    </row>
    <row r="10" customFormat="false" ht="15" hidden="false" customHeight="false" outlineLevel="0" collapsed="false">
      <c r="A10" s="6" t="s">
        <v>456</v>
      </c>
      <c r="B10" s="6" t="n">
        <v>0</v>
      </c>
      <c r="C10" s="6" t="n">
        <f aca="false">COUNTIF(SpecTables!$F$2:$F$67,290)</f>
        <v>0</v>
      </c>
      <c r="D10" s="44" t="str">
        <f aca="false">IF(C10=0,"OK","CHECK")</f>
        <v>OK</v>
      </c>
    </row>
    <row r="11" customFormat="false" ht="15" hidden="false" customHeight="false" outlineLevel="0" collapsed="false">
      <c r="A11" s="6" t="s">
        <v>457</v>
      </c>
      <c r="B11" s="6" t="s">
        <v>458</v>
      </c>
      <c r="C11" s="6" t="n">
        <f aca="false">SUMIFS(SpecTables!$G$2:$G$67,SpecTables!$B$2:$B$67,"POW")</f>
        <v>9</v>
      </c>
      <c r="D11" s="44" t="str">
        <f aca="false">IF(C11&gt;=2,"OK","CHECK")</f>
        <v>OK</v>
      </c>
    </row>
    <row r="12" customFormat="false" ht="15" hidden="false" customHeight="false" outlineLevel="0" collapsed="false">
      <c r="A12" s="6" t="s">
        <v>459</v>
      </c>
      <c r="B12" s="6" t="s">
        <v>458</v>
      </c>
      <c r="C12" s="6" t="n">
        <f aca="false">SUMIFS(SpecTables!$G$2:$G$67,SpecTables!$B$2:$B$67,"WTR")</f>
        <v>8</v>
      </c>
      <c r="D12" s="44" t="str">
        <f aca="false">IF(C12&gt;=2,"OK","CHECK")</f>
        <v>OK</v>
      </c>
    </row>
    <row r="13" customFormat="false" ht="15" hidden="false" customHeight="false" outlineLevel="0" collapsed="false">
      <c r="A13" s="6" t="s">
        <v>460</v>
      </c>
      <c r="B13" s="6" t="s">
        <v>458</v>
      </c>
      <c r="C13" s="6" t="n">
        <f aca="false">SUMIFS(SpecTables!$G$2:$G$67,SpecTables!$B$2:$B$67,"MED")</f>
        <v>7</v>
      </c>
      <c r="D13" s="44" t="str">
        <f aca="false">IF(C13&gt;=2,"OK","CHECK")</f>
        <v>OK</v>
      </c>
    </row>
    <row r="14" customFormat="false" ht="15" hidden="false" customHeight="false" outlineLevel="0" collapsed="false">
      <c r="A14" s="6" t="s">
        <v>461</v>
      </c>
      <c r="B14" s="6" t="s">
        <v>458</v>
      </c>
      <c r="C14" s="6" t="n">
        <f aca="false">SUMIFS(SpecTables!$G$2:$G$67,SpecTables!$B$2:$B$67,"TRN")</f>
        <v>7</v>
      </c>
      <c r="D14" s="44" t="str">
        <f aca="false">IF(C14&gt;=2,"OK","CHECK")</f>
        <v>OK</v>
      </c>
    </row>
    <row r="15" customFormat="false" ht="15" hidden="false" customHeight="false" outlineLevel="0" collapsed="false">
      <c r="A15" s="6" t="s">
        <v>462</v>
      </c>
      <c r="B15" s="6" t="s">
        <v>458</v>
      </c>
      <c r="C15" s="6" t="n">
        <f aca="false">SUMIFS(SpecTables!$G$2:$G$67,SpecTables!$B$2:$B$67,"AGR")</f>
        <v>7</v>
      </c>
      <c r="D15" s="44" t="str">
        <f aca="false">IF(C15&gt;=2,"OK","CHECK")</f>
        <v>OK</v>
      </c>
    </row>
    <row r="16" customFormat="false" ht="15" hidden="false" customHeight="false" outlineLevel="0" collapsed="false">
      <c r="A16" s="6" t="s">
        <v>463</v>
      </c>
      <c r="B16" s="6" t="s">
        <v>458</v>
      </c>
      <c r="C16" s="6" t="n">
        <f aca="false">SUMIFS(SpecTables!$G$2:$G$67,SpecTables!$B$2:$B$67,"COM")</f>
        <v>7</v>
      </c>
      <c r="D16" s="44" t="str">
        <f aca="false">IF(C16&gt;=2,"OK","CHECK")</f>
        <v>OK</v>
      </c>
    </row>
    <row r="18" customFormat="false" ht="15" hidden="false" customHeight="false" outlineLevel="0" collapsed="false">
      <c r="A18" s="2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2026-08-21T09:47:49Z</dcterms:created>
  <dc:creator>openpyxl</dc:creator>
  <dc:description/>
  <dc:language>en-US</dc:language>
  <cp:lastModifiedBy/>
  <dcterms:modified xsi:type="dcterms:W3CDTF">2026-08-21T09:47:49Z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